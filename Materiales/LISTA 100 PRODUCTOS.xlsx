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s\Demo-Huawei-DeepSeek\Materiales\"/>
    </mc:Choice>
  </mc:AlternateContent>
  <xr:revisionPtr revIDLastSave="0" documentId="13_ncr:1_{26FF4670-FF45-43C0-85C7-A12D8D4656EC}" xr6:coauthVersionLast="47" xr6:coauthVersionMax="47" xr10:uidLastSave="{00000000-0000-0000-0000-000000000000}"/>
  <bookViews>
    <workbookView xWindow="20370" yWindow="-2085" windowWidth="29040" windowHeight="15720" activeTab="1" xr2:uid="{506DD829-D0D2-458E-AD8B-CB9EE339D05D}"/>
  </bookViews>
  <sheets>
    <sheet name="Hoja1" sheetId="2" r:id="rId1"/>
    <sheet name="Hoja2" sheetId="3" r:id="rId2"/>
    <sheet name="Hoja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3" l="1"/>
  <c r="F2" i="3"/>
  <c r="F3" i="3"/>
  <c r="F4" i="3"/>
  <c r="F5" i="3"/>
  <c r="F6" i="3"/>
  <c r="F7" i="3"/>
  <c r="F8" i="3"/>
  <c r="F9" i="3"/>
  <c r="F10" i="3"/>
  <c r="F11" i="3"/>
  <c r="E12" i="3"/>
  <c r="F12" i="3"/>
  <c r="F14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</calcChain>
</file>

<file path=xl/sharedStrings.xml><?xml version="1.0" encoding="utf-8"?>
<sst xmlns="http://schemas.openxmlformats.org/spreadsheetml/2006/main" count="353" uniqueCount="188">
  <si>
    <t>UND.</t>
  </si>
  <si>
    <t>https://www.promelsa.com.pe/cable-de-arrastre-vulcanizado-nlt-3x14awg-500v-x-rollo-practicable-1042395.html?gad_source=1&amp;gbraid=0AAAAAoOzt1IWwCp5NPYJeiNw10dGwuIpJ&amp;gclid=CjwKCAjwtdi_BhACEiwA97y8BJGL_4jmgzDQ8QPsAe0JRprWCItaRTUxcs4UaOa-Ch9D-qKNnKh8zBoC-_sQAvD_BwE</t>
  </si>
  <si>
    <t>FRIZA CON FLEJE DE 1.50 MT (PLATO DE 18")</t>
  </si>
  <si>
    <t>RODAJES 6002 2RS - SKF</t>
  </si>
  <si>
    <t>RODAJES 6203 2RS - SKF</t>
  </si>
  <si>
    <t>CONTACTO CENTRIFUGO CHICO</t>
  </si>
  <si>
    <t>UNION MOTOR REDUCTOR PLASTIFICADO</t>
  </si>
  <si>
    <t>ENCHUFE ESPIGA PLANA C/LINEA A TIERRA 15A , 125 V</t>
  </si>
  <si>
    <t>https://www.promart.pe/enchufe-15a-125v-pvc/p?srsltid=AfmBOooEQj7POH6Zi3SQAV77v9ghJlNnr3_Lix9nPagkqqLrUXDX1y7E</t>
  </si>
  <si>
    <t>CONDENSADORES DE ARRANQUE 540-648 M.F.D - 110</t>
  </si>
  <si>
    <t>https://www.amazon.com/-/es/540-648-Condensador-arranque-el%C3%A9ctrico-110-125V/dp/B07M59719H</t>
  </si>
  <si>
    <t>RUEDAS DE 5" CON BOCINAS CONTINENTAL</t>
  </si>
  <si>
    <t>51 998 849 258</t>
  </si>
  <si>
    <t>JEBE PROTECTOR DE SALIDA DE CABLE CHASQUY</t>
  </si>
  <si>
    <t>JEBE PROTECTOR DE MANUBRIOS P/CHASQUY</t>
  </si>
  <si>
    <t>MANIVELA DE ALUMINIO PLASTIFICADA</t>
  </si>
  <si>
    <t>https://norelem.es/es/Vista-general-de-productos/Sistema-flexible-de-piezas-est%C3%A1ndar/06000/Manivelas-de-mano-manivelas-esf%C3%A9ricas/Manivelas-de-mano-de-aluminio-con-empu%C3%B1adura-cil%C3%ADndrica-giratoria/p/agid.17309</t>
  </si>
  <si>
    <t>MICRO SWICHT P/LUSTRADORA CHASQUY 15 Amp.</t>
  </si>
  <si>
    <t>ENCHUFE TIPO CHUKO C/LINEA A TIERRA 250 V</t>
  </si>
  <si>
    <t>https://www.promelsa.com.pe/1014220-enchufe-schuko-2x16at-250v-tierra-lateral-salida-axial.html?srsltid=AfmBOoozEKfetIlUUfAEd0YvNFIf8qieyfwoS47K7SmO8p_lS6C4e5ZX</t>
  </si>
  <si>
    <t>MICRO SWICHT P/LUST. TAURO</t>
  </si>
  <si>
    <t>GALON</t>
  </si>
  <si>
    <t>PINTURA NEGRA GLOSH</t>
  </si>
  <si>
    <t>https://www.promart.pe/super-gloss-negro-1gl/p?srsltid=AfmBOooMndPemxkC9SwsjaafN4AAMr2QrnphNaMQYkttoVIEJDZDyVqM</t>
  </si>
  <si>
    <t>PINTURA EN SPRAY CROMADO</t>
  </si>
  <si>
    <t>PINTURA EN SPRAY NEGRO ABRO</t>
  </si>
  <si>
    <t>https://www.promart.pe/spray-negro-mate-14483/p?srsltid=AfmBOoply1RIs_o9E7Ya1VBFfxNR6GO-wVRJXx_1FrPnKjDkudKXJW6I</t>
  </si>
  <si>
    <t>THINNER ACRILICO</t>
  </si>
  <si>
    <t>https://carpintec.com.pe/products/thinner-acrilico-anypsa</t>
  </si>
  <si>
    <t>PERNO CABEZA EXAGONAL DE 5/16" X 1 1/2"</t>
  </si>
  <si>
    <t>PERNO CABEZA EXAGONAL DE 5/16" X 3/4"</t>
  </si>
  <si>
    <t>STOVE BOLTS DE 5/32"X1/2"</t>
  </si>
  <si>
    <t>https://www.promart.pe/tornillo-stove-bolt-5-32-x-1-2--x10-unids-/p?srsltid=AfmBOorHMUg7tqPohRIAsrhPPfA97NQwhgCK_Vw2TrN9HHhBnOGcg2fp</t>
  </si>
  <si>
    <t>STOVE BOLTS TIPO CABEZA AVELLANADA DE 1/4"X 1 1/2"</t>
  </si>
  <si>
    <t>https://www.promart.pe/tornillo-stove-bolt-1-4-x-1-1-2--x10-unids-/p?srsltid=AfmBOoq9_9UgV3HFU8H6DIyWq7o-DzHxyrFU4YvvfWUoTSHdJQsK6JXK</t>
  </si>
  <si>
    <t>ARANDELAS PLANAS DE 1/4"</t>
  </si>
  <si>
    <t>TUERCAS EXAGONALES DE 1/4"</t>
  </si>
  <si>
    <t>https://www.promart.pe/tuerca-hexagonal-c-1-4--x10-unids-/p</t>
  </si>
  <si>
    <t>CINTA AISLANTE 3-M</t>
  </si>
  <si>
    <t>https://www.promelsa.com.pe/1039235-cinta-aislante-vinilica-temflex-165-3-4x18mts-negra.html?gad_source=1&amp;gbraid=0AAAAAoOzt1IWwCp5NPYJeiNw10dGwuIpJ&amp;gclid=CjwKCAjwtdi_BhACEiwA97y8BFAxwc-sD-iuyex0XtvSeafpiRJfKWBqsw62Fzi595gEUvx4IBfwHhoCgw0QAvD_BwE</t>
  </si>
  <si>
    <t>UND</t>
  </si>
  <si>
    <t>CERA LÍQUIDA PARA MUEBLES X 300 Ml premio</t>
  </si>
  <si>
    <t>https://www.makro.plazavea.com.pe/limpiador-madera-premio-lustramuebles-rojo-botella-220ml/p</t>
  </si>
  <si>
    <t>GLN</t>
  </si>
  <si>
    <t>LIMPIADOR QUITASARRO KAZVEL3.8 LT</t>
  </si>
  <si>
    <t>clean</t>
  </si>
  <si>
    <t>AMBIENTADOR EN SPRAY X 440 Ml GLADE</t>
  </si>
  <si>
    <t>AMBIENTADOR EN SPRAY X 270 ML ( REPUESTO) GLADE</t>
  </si>
  <si>
    <t>KG</t>
  </si>
  <si>
    <t xml:space="preserve">DETERGENTE GRANULADO KG TROME </t>
  </si>
  <si>
    <t xml:space="preserve">DETERGENTE EN PASTA  LAVA VAJILLA X 1 KG( CLORONDINA) </t>
  </si>
  <si>
    <t>https://www.vega.pe/lavavajilla-en-pasta-clorandina-uva-pote-1000gr-180094/p?srsltid=AfmBOopMJ2r6-UnEPEx6lmi40jMvCegrIwaa8bBpTl_oRAeBVY1vWPB4</t>
  </si>
  <si>
    <t>LEJIA HIPLOCORITO DE SODIO AL 7.5 KAZVEL 3.5 LT</t>
  </si>
  <si>
    <t xml:space="preserve">LIMPIA VIDRIOS  1 GAL KAZ </t>
  </si>
  <si>
    <t>SILICONA PARA CUEROS X 450 ML KANUFF</t>
  </si>
  <si>
    <t>CREMA PARA LIMPIAR COMPUTADORASX 500 GR PREMIO</t>
  </si>
  <si>
    <t>ESPONJA DE FIBRA SINTETICA 10 CM X 14 CM SCOTCH BRITE</t>
  </si>
  <si>
    <t>RECOGEDOR DE PLASTICO HUDE</t>
  </si>
  <si>
    <t>REPUESTO PARA TRAPEADOR DE MICROFIBRA 45 CM X 70 CM</t>
  </si>
  <si>
    <t>REPUESTO PARA MOPA PLANA DE MICROFIBRA 40 CM</t>
  </si>
  <si>
    <t>PAÑO MICROFIBRA  32 X 36 CM APROX AZUL</t>
  </si>
  <si>
    <t>JABON GERMICIDA LIQUIDO X 1LT AKLARY</t>
  </si>
  <si>
    <t>https://www.valca.com.pe/aklary-jabon-liquido-1l-bebe-73/p</t>
  </si>
  <si>
    <t>JABON GERMICIDA ESPUMA X 800 ML KLEENEX</t>
  </si>
  <si>
    <t>GEL ANTIBACTERIAL  PARA MANOS X 1L APROX</t>
  </si>
  <si>
    <t>SILICONA LIQUIDA X 1 GL Kaz</t>
  </si>
  <si>
    <t>BOLSA DE POLIETILENO 6 MICRAS, DE ANCHO 9 CM X 120 CM DE LARGO ( MINIMO) - COLOR  MEGRO ( 240 LT )</t>
  </si>
  <si>
    <t xml:space="preserve">BOLSA DE POLIETILENO 1.5 MICRAS, 20" X30"COLOR ROJO 50 LT APROX </t>
  </si>
  <si>
    <t xml:space="preserve">BOLSA DE POLIETILENO 2 um x 26 in x 40 in aprox  NEGRO X 100 ( 75 LT)  </t>
  </si>
  <si>
    <t xml:space="preserve">BOLSA DE POLIETILENO 6 MICRAS  DE  1 M  LAROG X 1 M DE ANCHO MINIMO  , NEGRO , 180 LT APROX </t>
  </si>
  <si>
    <t xml:space="preserve">BOLSA DE POLIETILENO DE 2 MICRAS X 35 " X 42 " ,NEGRO , 140 LT </t>
  </si>
  <si>
    <t>BOLSA DE POLIETILENO  1 MICRA X 20 "X 30" , NEGRO , 50 LT</t>
  </si>
  <si>
    <t>CIENTO</t>
  </si>
  <si>
    <t xml:space="preserve">BOLSADE POLIETILENO 2µM MICRAS  X 26" X 40", ROJO, 75 LT </t>
  </si>
  <si>
    <t>ALCOHOL ETILICO ( ETANOL) 70 % 1 L ALKHOFARMA</t>
  </si>
  <si>
    <t>TACHO DE PLASTICO CON PEDAL 25 L APROX danubio</t>
  </si>
  <si>
    <t>https://www.mallplast.pe/papelera-automatica-danubio-30</t>
  </si>
  <si>
    <t>TACHO DE PLASTICO CON PEDAL 15L APROX polinplast</t>
  </si>
  <si>
    <t>https://www.mallplast.pe/buzon-ahorra-espacio-20-c-pedal</t>
  </si>
  <si>
    <t>BALDE DE PLASTICO 
X 15 LT. CON 
ESCURRIDOR DE 
MOPA incluye: 02 
mopas circulares de 
40 cm de diámetro 
APRIXIMADO, 01 
mango extensible, 
01 balde escurrido KLEINE WOLKE</t>
  </si>
  <si>
    <t>https://sodimac.falabella.com.pe/sodimac-pe/product/113534140/Balde-Plastico-Kleine-15L-con-centrifugado-+-Trapeador/113534143</t>
  </si>
  <si>
    <t>PERNO 5/16 X 1MM C/ANILLO, PRESION Y TUE</t>
  </si>
  <si>
    <t>PERNO 5/16 X 2MM C/ANILLO, PRESION Y TUE</t>
  </si>
  <si>
    <t>PERNO 3/8 X 1MM C/ANILLO, PRESION Y TUER</t>
  </si>
  <si>
    <t>PERNO 3/8 X 2MM C/ANILLO, PRESION Y TUER</t>
  </si>
  <si>
    <t>PERNO 3/8 X 5MM C/ANILLO, PRESION Y TUER</t>
  </si>
  <si>
    <t>PERNO 3/8 X 6MM C/ANILLO, PRESION Y TUER</t>
  </si>
  <si>
    <t>PERNO 1/2 X 2MM C/ANILLO, PRESION Y TUER</t>
  </si>
  <si>
    <t>PERNO 1/2 X 3MM C/ANILLO, PRESION Y TUER</t>
  </si>
  <si>
    <t>TALADRO DE BANCO REXON ZJ5132BX</t>
  </si>
  <si>
    <t>ESMERIL DE BANCO EM250A 0" 1.5HP</t>
  </si>
  <si>
    <t>FUSIBLE DE UÑA 10A</t>
  </si>
  <si>
    <t>FUSIBLE TIPO UÑA 15 A</t>
  </si>
  <si>
    <t>FUSIBLE TIPO UÑA 20 A</t>
  </si>
  <si>
    <t>FUSIBLE TIPO UÑA 25 AMP</t>
  </si>
  <si>
    <t>FUSIBLE TIPO UÑA 30 AMP</t>
  </si>
  <si>
    <t>PAR</t>
  </si>
  <si>
    <t>BORNER POSITIVO Y NEGATIVO REFORZADO</t>
  </si>
  <si>
    <t>M</t>
  </si>
  <si>
    <t>CABLE AUTOMOTRIZ N°14 COLOR NEGRO</t>
  </si>
  <si>
    <t>CABLE ELEC. AUTOMOTRIZ GPT N°12 ROJO</t>
  </si>
  <si>
    <t>CABLE ELEC. AUTOMOTRIZ GPT N°10 ROJO</t>
  </si>
  <si>
    <t>TIZA DE CALDERO</t>
  </si>
  <si>
    <t>https://www.promart.pe/tiza-de-soldar-75384-75384/p?srsltid=AfmBOorysu273cS84H0lLzih4NSzxmujSa4rfFzr4u5opM5ggR-FvsEG</t>
  </si>
  <si>
    <t>TRAPO INDUSTRIAL COSIDO</t>
  </si>
  <si>
    <t>https://gpc.pe/products/trapo-industrial-cosido-de-color?srsltid=AfmBOorQ-6A476V5DviLMPmEgpRc1Hdt8S0CsoMOnEkClkmvvfSHvgwb</t>
  </si>
  <si>
    <t>LIJA DE FIERRO N° 40</t>
  </si>
  <si>
    <t>https://www.promart.pe/lija-p-fierro-grano-40-15143/p?srsltid=AfmBOorgVPjqtgl_lMO-aakDcGeo-X1M3v6YWEYkGW6KwiI3uQqv7fhH</t>
  </si>
  <si>
    <t>LIJA AL AGUA N° 120</t>
  </si>
  <si>
    <t>https://www.promart.pe/lija-al-agua-grano-120-15132/p?srsltid=AfmBOopezF7tUHqzaAoIiyv8mxUyOstceaMYXMN-d_OhDHvoqjXruw0l</t>
  </si>
  <si>
    <t>LIJA AL AGUA N° 180</t>
  </si>
  <si>
    <t>https://www.promart.pe/lija-al-agua-grano-180-15134/p?srsltid=AfmBOoqyZ9k87pkUFe-hzVQ4oLi5L0uu015A2TJGhA5QxBs_bO2i2kxr</t>
  </si>
  <si>
    <t>GAL</t>
  </si>
  <si>
    <t>PINTURA ANYPSA AZUL ELECTRICO X  3.7 LT</t>
  </si>
  <si>
    <t>PINTURA ANYPSA NEGRO X  3.7 LT</t>
  </si>
  <si>
    <t>PINTURA ANYPSA ALUMINIO OSCURO X  3.7 LT</t>
  </si>
  <si>
    <t xml:space="preserve">SILICONA MEGA GREY 999 ABRO 3 ONZAS </t>
  </si>
  <si>
    <t>https://cablex.pe/products/abro-999-silicona-grey?variant=47373590757652</t>
  </si>
  <si>
    <t>MOTOR ELECTRICO TRIFASICO 10HP P/BOMBA</t>
  </si>
  <si>
    <t>HOJA DE SIERRA P/MADERA 18TPI</t>
  </si>
  <si>
    <t>https://www.promart.pe/hoja-de-sierra-18-tpi/p?srsltid=AfmBOooQmSyq3jYoiS5CW1MB_m6f5D4278MLePt-vPE_HuM5x_0JB5o-</t>
  </si>
  <si>
    <t>ROL</t>
  </si>
  <si>
    <t>STRETCH FILM BLANCO 20"X20MICRASX 2 KG</t>
  </si>
  <si>
    <t>MALLA MOSQUITERO FIBRA BLANCA 1.20X30 MT</t>
  </si>
  <si>
    <t>ESCOBA NYLON PLASTICA PLOMO</t>
  </si>
  <si>
    <t>PROLIDER</t>
  </si>
  <si>
    <t>CONTENEDOR DE BASURA C/AMARILLO 120LTS CON 2 RUEDAS</t>
  </si>
  <si>
    <t>CONTENEDOR DE BASURA C/AZUL 120 LTS CON 2 RUEDAS</t>
  </si>
  <si>
    <t>CONTENEDOR DE BASURA C/BLANCO 120 LTS CON 2 RUEDAS</t>
  </si>
  <si>
    <t>CONTENEDOR DE BASURA C/MARRON 120 LTS CON 2 RUEDAS</t>
  </si>
  <si>
    <t>CONTENEDOR DE BASURA C/NEGRO 120 LTS CON 2 RUEDAS</t>
  </si>
  <si>
    <t>CONTENEDOR DE BASURA C/ROJO 120 LTS CON 2 RUEDAS</t>
  </si>
  <si>
    <t>PINTURA ACRILICA NEGRO X3</t>
  </si>
  <si>
    <t>BISAGRA DE HIERRO 3X3X2MM</t>
  </si>
  <si>
    <t>https://www.promart.pe/bisagra-de-puerta-werken-acero-niquelado-3x3x2mm-x-3u-140405/p?srsltid=AfmBOopkig_T-0TR0HzG905HAUjB4zzXib5KOZ2FLkFbAfvoAfhBNQUj</t>
  </si>
  <si>
    <t>FCO</t>
  </si>
  <si>
    <t>LARVIGEN 48 SC 1LT</t>
  </si>
  <si>
    <t>CLAVO P/MADERA 2"</t>
  </si>
  <si>
    <t>MARTILLO D/UÑA PULIDO 29MM VECTOR</t>
  </si>
  <si>
    <t>https://www.tramontina.com.pe/martillo-de-u%2525C3%2525B1a-mango-de-madera-29-mm-pulido_40200029/p?srsltid=AfmBOopPB4fTozjBrWe3TMepA5AnvEaEmWn5OMIrMPEJptOnP80MqEjv</t>
  </si>
  <si>
    <t>🔌 Electricidad y Electrónica</t>
  </si>
  <si>
    <t>🧽 Limpieza y Aseo</t>
  </si>
  <si>
    <t>🛢️ Residuos y Bolsas</t>
  </si>
  <si>
    <t>🧰 Herramientas y Maquinaria</t>
  </si>
  <si>
    <t>🧪 Otros Químicos o Especiales</t>
  </si>
  <si>
    <t>CABLE VULCANIZADO</t>
  </si>
  <si>
    <t>ROLLO DE CABLE VULCANIZADO 14X3X100 MT INDECO ⭐</t>
  </si>
  <si>
    <t>ENCHUFE ESPIGA PLANA C/LINEA A TIERRA 15A , 125 V ⭐</t>
  </si>
  <si>
    <t>FUSIBLE DE UÑA 10A ⭐</t>
  </si>
  <si>
    <t>FUSIBLE TIPO UÑA 15 A ⭐</t>
  </si>
  <si>
    <t>FUSIBLE TIPO UÑA 20 A ⭐</t>
  </si>
  <si>
    <t>⚙️ Ferretería General y Tornillería</t>
  </si>
  <si>
    <t>RODAJES 6002 2RS - SKF ⭐</t>
  </si>
  <si>
    <t>RODAJES 6203 2RS - SKF ⭐</t>
  </si>
  <si>
    <t>MARTILLO D/UÑA PULIDO 29MM VECTOR ⭐</t>
  </si>
  <si>
    <t>CINTA AISLANTE 3-M ⭐</t>
  </si>
  <si>
    <t>LIMPIADOR QUITASARRO KAZVEL 3.8 LT</t>
  </si>
  <si>
    <t>AMBIENTADOR EN SPRAY X 440 Ml GLADE ⭐</t>
  </si>
  <si>
    <t>AMBIENTADOR EN SPRAY X 270 ML (REPUESTO) GLADE ⭐</t>
  </si>
  <si>
    <t>DETERGENTE GRANULADO KG TROME</t>
  </si>
  <si>
    <t>DETERGENTE EN PASTA LAVA VAJILLA X 1 KG (CLORONDINA)</t>
  </si>
  <si>
    <t>LEJIA HIPOCLORITO DE SODIO AL 7.5% KAZVEL 3.5 LT ⭐</t>
  </si>
  <si>
    <t>LIMPIA VIDRIOS 1 GAL KAZ</t>
  </si>
  <si>
    <t>CREMA PARA LIMPIAR COMPUTADORAS X 500 GR PREMIO</t>
  </si>
  <si>
    <t>ESPONJA DE FIBRA SINTETICA 10 CM X 14 CM SCOTCH BRITE ⭐</t>
  </si>
  <si>
    <t>JABON GERMICIDA ESPUMA X 800 ML KLEENEX ⭐</t>
  </si>
  <si>
    <t>GEL ANTIBACTERIAL PARA MANOS X 1L APROX</t>
  </si>
  <si>
    <t>ALCOHOL ETILICO (ETANOL) 70 % 1 L ALKHOFARMA ⭐</t>
  </si>
  <si>
    <t>🪣 Limpieza (Utensilios y Repuestos)</t>
  </si>
  <si>
    <t>PAÑO MICROFIBRA 32 X 36 CM APROX AZUL</t>
  </si>
  <si>
    <t>TACHO DE PLASTICO CON PEDAL 25 L APROX DANUBIO</t>
  </si>
  <si>
    <t>TACHO DE PLASTICO CON PEDAL 15L APROX POLINPLAST</t>
  </si>
  <si>
    <t>BALDE DE PLASTICO X 15 LT. CON ESCURRIDOR DE MOPA + ACCESORIOS</t>
  </si>
  <si>
    <t>BOLSA DE POLIETILENO 6 MICRAS, DE ANCHO 9 CM X 120 CM</t>
  </si>
  <si>
    <t>BOLSA DE POLIETILENO 1.5 MICRAS, 20" X 30", COLOR ROJO</t>
  </si>
  <si>
    <t>BOLSA DE POLIETILENO 2 µm x 26 in x 40 in, NEGRO</t>
  </si>
  <si>
    <t>BOLSA DE POLIETILENO 6 MICRAS, 1 M X 1 M, NEGRO</t>
  </si>
  <si>
    <t>BOLSA DE POLIETILENO DE 2 MICRAS X 35" X 42", NEGRO</t>
  </si>
  <si>
    <t>BOLSA DE POLIETILENO 1 MICRA X 20" X 30", NEGRO</t>
  </si>
  <si>
    <t>BOLSA DE POLIETILENO 2 µm X 26" X 40", ROJO</t>
  </si>
  <si>
    <t>🎨 Pinturas, Químicos y Adhesivos</t>
  </si>
  <si>
    <t>PINTURA ANYPSA AZUL ELECTRICO X 3.7 LT</t>
  </si>
  <si>
    <t>PINTURA ANYPSA NEGRO X 3.7 LT</t>
  </si>
  <si>
    <t>PINTURA ANYPSA ALUMINIO OSCURO X 3.7 LT</t>
  </si>
  <si>
    <t>SILICONA MEGA GREY 999 ABRO 3 ONZAS ⭐</t>
  </si>
  <si>
    <t>CINTA AISLANTE 3M</t>
  </si>
  <si>
    <t>index</t>
  </si>
  <si>
    <t>LIMPIA VIDRIOS 1 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</si>
</sst>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badi Extra Light"/>
      <family val="2"/>
    </font>
    <font>
      <u/>
      <sz val="11"/>
      <color theme="10"/>
      <name val="Abadi Extra Light"/>
      <family val="2"/>
    </font>
    <font>
      <b/>
      <sz val="13.5"/>
      <color theme="1"/>
      <name val="Aptos Narrow"/>
      <family val="2"/>
      <scheme val="minor"/>
    </font>
    <font>
      <sz val="16"/>
      <color theme="1"/>
      <name val="Abadi Extra Light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horizontal="left"/>
    </xf>
    <xf numFmtId="0" fontId="3" fillId="0" borderId="1" xfId="1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romart.pe/super-gloss-negro-1gl/p?srsltid=AfmBOooMndPemxkC9SwsjaafN4AAMr2QrnphNaMQYkttoVIEJDZDyVqM" TargetMode="External"/><Relationship Id="rId13" Type="http://schemas.openxmlformats.org/officeDocument/2006/relationships/hyperlink" Target="https://www.promart.pe/tuerca-hexagonal-c-1-4--x10-unids-/p" TargetMode="External"/><Relationship Id="rId18" Type="http://schemas.openxmlformats.org/officeDocument/2006/relationships/hyperlink" Target="https://www.mallplast.pe/papelera-automatica-danubio-30" TargetMode="External"/><Relationship Id="rId26" Type="http://schemas.openxmlformats.org/officeDocument/2006/relationships/hyperlink" Target="https://www.promart.pe/bisagra-de-puerta-werken-acero-niquelado-3x3x2mm-x-3u-140405/p?srsltid=AfmBOopkig_T-0TR0HzG905HAUjB4zzXib5KOZ2FLkFbAfvoAfhBNQUj" TargetMode="External"/><Relationship Id="rId3" Type="http://schemas.openxmlformats.org/officeDocument/2006/relationships/hyperlink" Target="https://www.promelsa.com.pe/cable-de-arrastre-vulcanizado-nlt-3x14awg-500v-x-rollo-practicable-1042395.html?gad_source=1&amp;gbraid=0AAAAAoOzt1IWwCp5NPYJeiNw10dGwuIpJ&amp;gclid=CjwKCAjwtdi_BhACEiwA97y8BJGL_4jmgzDQ8QPsAe0JRprWCItaRTUxcs4UaOa-Ch9D-qKNnKh8zBoC-_sQAvD_BwE" TargetMode="External"/><Relationship Id="rId21" Type="http://schemas.openxmlformats.org/officeDocument/2006/relationships/hyperlink" Target="https://www.promart.pe/lija-p-fierro-grano-40-15143/p?srsltid=AfmBOorgVPjqtgl_lMO-aakDcGeo-X1M3v6YWEYkGW6KwiI3uQqv7fhH" TargetMode="External"/><Relationship Id="rId7" Type="http://schemas.openxmlformats.org/officeDocument/2006/relationships/hyperlink" Target="https://norelem.es/es/Vista-general-de-productos/Sistema-flexible-de-piezas-est%C3%A1ndar/06000/Manivelas-de-mano-manivelas-esf%C3%A9ricas/Manivelas-de-mano-de-aluminio-con-empu%C3%B1adura-cil%C3%ADndrica-giratoria/p/agid.17309" TargetMode="External"/><Relationship Id="rId12" Type="http://schemas.openxmlformats.org/officeDocument/2006/relationships/hyperlink" Target="https://www.promart.pe/tornillo-stove-bolt-1-4-x-1-1-2--x10-unids-/p?srsltid=AfmBOoq9_9UgV3HFU8H6DIyWq7o-DzHxyrFU4YvvfWUoTSHdJQsK6JXK" TargetMode="External"/><Relationship Id="rId17" Type="http://schemas.openxmlformats.org/officeDocument/2006/relationships/hyperlink" Target="https://www.valca.com.pe/aklary-jabon-liquido-1l-bebe-73/p" TargetMode="External"/><Relationship Id="rId25" Type="http://schemas.openxmlformats.org/officeDocument/2006/relationships/hyperlink" Target="https://www.promart.pe/hoja-de-sierra-18-tpi/p?srsltid=AfmBOooQmSyq3jYoiS5CW1MB_m6f5D4278MLePt-vPE_HuM5x_0JB5o-" TargetMode="External"/><Relationship Id="rId2" Type="http://schemas.openxmlformats.org/officeDocument/2006/relationships/hyperlink" Target="https://www.promelsa.com.pe/1014220-enchufe-schuko-2x16at-250v-tierra-lateral-salida-axial.html?srsltid=AfmBOoozEKfetIlUUfAEd0YvNFIf8qieyfwoS47K7SmO8p_lS6C4e5ZX" TargetMode="External"/><Relationship Id="rId16" Type="http://schemas.openxmlformats.org/officeDocument/2006/relationships/hyperlink" Target="https://www.vega.pe/lavavajilla-en-pasta-clorandina-uva-pote-1000gr-180094/p?srsltid=AfmBOopMJ2r6-UnEPEx6lmi40jMvCegrIwaa8bBpTl_oRAeBVY1vWPB4" TargetMode="External"/><Relationship Id="rId20" Type="http://schemas.openxmlformats.org/officeDocument/2006/relationships/hyperlink" Target="https://gpc.pe/products/trapo-industrial-cosido-de-color?srsltid=AfmBOorQ-6A476V5DviLMPmEgpRc1Hdt8S0CsoMOnEkClkmvvfSHvgwb" TargetMode="External"/><Relationship Id="rId1" Type="http://schemas.openxmlformats.org/officeDocument/2006/relationships/hyperlink" Target="https://www.promart.pe/enchufe-15a-125v-pvc/p?srsltid=AfmBOooEQj7POH6Zi3SQAV77v9ghJlNnr3_Lix9nPagkqqLrUXDX1y7E" TargetMode="External"/><Relationship Id="rId6" Type="http://schemas.openxmlformats.org/officeDocument/2006/relationships/hyperlink" Target="https://www.amazon.com/-/es/540-648-Condensador-arranque-el%C3%A9ctrico-110-125V/dp/B07M59719H" TargetMode="External"/><Relationship Id="rId11" Type="http://schemas.openxmlformats.org/officeDocument/2006/relationships/hyperlink" Target="https://www.promart.pe/tornillo-stove-bolt-5-32-x-1-2--x10-unids-/p?srsltid=AfmBOorHMUg7tqPohRIAsrhPPfA97NQwhgCK_Vw2TrN9HHhBnOGcg2fp" TargetMode="External"/><Relationship Id="rId24" Type="http://schemas.openxmlformats.org/officeDocument/2006/relationships/hyperlink" Target="https://cablex.pe/products/abro-999-silicona-grey?variant=47373590757652" TargetMode="External"/><Relationship Id="rId5" Type="http://schemas.openxmlformats.org/officeDocument/2006/relationships/hyperlink" Target="https://sodimac.falabella.com.pe/sodimac-pe/product/113534140/Balde-Plastico-Kleine-15L-con-centrifugado-+-Trapeador/113534143" TargetMode="External"/><Relationship Id="rId15" Type="http://schemas.openxmlformats.org/officeDocument/2006/relationships/hyperlink" Target="https://www.makro.plazavea.com.pe/limpiador-madera-premio-lustramuebles-rojo-botella-220ml/p" TargetMode="External"/><Relationship Id="rId23" Type="http://schemas.openxmlformats.org/officeDocument/2006/relationships/hyperlink" Target="https://www.promart.pe/lija-al-agua-grano-180-15134/p?srsltid=AfmBOoqyZ9k87pkUFe-hzVQ4oLi5L0uu015A2TJGhA5QxBs_bO2i2kxr" TargetMode="External"/><Relationship Id="rId10" Type="http://schemas.openxmlformats.org/officeDocument/2006/relationships/hyperlink" Target="https://carpintec.com.pe/products/thinner-acrilico-anypsa" TargetMode="External"/><Relationship Id="rId19" Type="http://schemas.openxmlformats.org/officeDocument/2006/relationships/hyperlink" Target="https://www.promart.pe/tiza-de-soldar-75384-75384/p?srsltid=AfmBOorysu273cS84H0lLzih4NSzxmujSa4rfFzr4u5opM5ggR-FvsEG" TargetMode="External"/><Relationship Id="rId4" Type="http://schemas.openxmlformats.org/officeDocument/2006/relationships/hyperlink" Target="https://www.mallplast.pe/buzon-ahorra-espacio-20-c-pedal" TargetMode="External"/><Relationship Id="rId9" Type="http://schemas.openxmlformats.org/officeDocument/2006/relationships/hyperlink" Target="https://www.promart.pe/spray-negro-mate-14483/p?srsltid=AfmBOoply1RIs_o9E7Ya1VBFfxNR6GO-wVRJXx_1FrPnKjDkudKXJW6I" TargetMode="External"/><Relationship Id="rId14" Type="http://schemas.openxmlformats.org/officeDocument/2006/relationships/hyperlink" Target="https://www.promelsa.com.pe/1039235-cinta-aislante-vinilica-temflex-165-3-4x18mts-negra.html?gad_source=1&amp;gbraid=0AAAAAoOzt1IWwCp5NPYJeiNw10dGwuIpJ&amp;gclid=CjwKCAjwtdi_BhACEiwA97y8BFAxwc-sD-iuyex0XtvSeafpiRJfKWBqsw62Fzi595gEUvx4IBfwHhoCgw0QAvD_BwE" TargetMode="External"/><Relationship Id="rId22" Type="http://schemas.openxmlformats.org/officeDocument/2006/relationships/hyperlink" Target="https://www.promart.pe/lija-al-agua-grano-120-15132/p?srsltid=AfmBOopezF7tUHqzaAoIiyv8mxUyOstceaMYXMN-d_OhDHvoqjXruw0l" TargetMode="External"/><Relationship Id="rId27" Type="http://schemas.openxmlformats.org/officeDocument/2006/relationships/hyperlink" Target="https://www.tramontina.com.pe/martillo-de-u%2525C3%2525B1a-mango-de-madera-29-mm-pulido_40200029/p?srsltid=AfmBOopPB4fTozjBrWe3TMepA5AnvEaEmWn5OMIrMPEJptOnP80MqEj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8B457-D109-4C3F-81D8-35B33A6F3AB4}">
  <dimension ref="A1:B4"/>
  <sheetViews>
    <sheetView workbookViewId="0"/>
  </sheetViews>
  <sheetFormatPr baseColWidth="10" defaultRowHeight="15" x14ac:dyDescent="0.25"/>
  <cols>
    <col min="1" max="1" width="3" bestFit="1" customWidth="1"/>
    <col min="2" max="2" width="85.85546875" bestFit="1" customWidth="1"/>
  </cols>
  <sheetData>
    <row r="1" spans="1:2" ht="20.25" x14ac:dyDescent="0.25">
      <c r="A1" s="10">
        <v>1</v>
      </c>
      <c r="B1" s="10" t="s">
        <v>56</v>
      </c>
    </row>
    <row r="2" spans="1:2" ht="20.25" x14ac:dyDescent="0.25">
      <c r="A2" s="10">
        <v>2</v>
      </c>
      <c r="B2" s="10" t="s">
        <v>185</v>
      </c>
    </row>
    <row r="3" spans="1:2" ht="20.25" x14ac:dyDescent="0.25">
      <c r="A3" s="10">
        <v>3</v>
      </c>
      <c r="B3" s="11" t="s">
        <v>187</v>
      </c>
    </row>
    <row r="4" spans="1:2" ht="20.25" x14ac:dyDescent="0.25">
      <c r="A4" s="10">
        <v>4</v>
      </c>
      <c r="B4" s="11" t="s">
        <v>186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DA24D-44DD-4853-9A1F-FB423A4A4FCA}">
  <dimension ref="A1:H100"/>
  <sheetViews>
    <sheetView tabSelected="1" zoomScaleNormal="100" workbookViewId="0">
      <selection activeCell="D20" sqref="D20"/>
    </sheetView>
  </sheetViews>
  <sheetFormatPr baseColWidth="10" defaultRowHeight="15" x14ac:dyDescent="0.25"/>
  <cols>
    <col min="1" max="1" width="6" style="5" bestFit="1" customWidth="1"/>
    <col min="2" max="2" width="7.85546875" style="5" bestFit="1" customWidth="1"/>
    <col min="3" max="3" width="9.5703125" style="5" bestFit="1" customWidth="1"/>
    <col min="4" max="4" width="159" style="4" bestFit="1" customWidth="1"/>
    <col min="5" max="5" width="6.7109375" style="4" bestFit="1" customWidth="1"/>
    <col min="6" max="6" width="9" style="4" bestFit="1" customWidth="1"/>
    <col min="7" max="7" width="5.85546875" style="4" bestFit="1" customWidth="1"/>
    <col min="8" max="8" width="255.7109375" style="4" bestFit="1" customWidth="1"/>
    <col min="9" max="16384" width="11.42578125" style="4"/>
  </cols>
  <sheetData>
    <row r="1" spans="1:8" x14ac:dyDescent="0.25">
      <c r="A1" s="6">
        <v>1</v>
      </c>
      <c r="B1" s="6" t="s">
        <v>0</v>
      </c>
      <c r="C1" s="6">
        <v>6</v>
      </c>
      <c r="D1" s="7" t="s">
        <v>145</v>
      </c>
      <c r="E1" s="1">
        <v>580</v>
      </c>
      <c r="F1" s="1">
        <f>E1*1.4</f>
        <v>812</v>
      </c>
      <c r="G1" s="1"/>
      <c r="H1" s="2" t="s">
        <v>1</v>
      </c>
    </row>
    <row r="2" spans="1:8" x14ac:dyDescent="0.25">
      <c r="A2" s="6">
        <v>2</v>
      </c>
      <c r="B2" s="6" t="s">
        <v>0</v>
      </c>
      <c r="C2" s="6">
        <v>35</v>
      </c>
      <c r="D2" s="7" t="s">
        <v>2</v>
      </c>
      <c r="E2" s="1">
        <v>500</v>
      </c>
      <c r="F2" s="1">
        <f t="shared" ref="F2:F12" si="0">E2*1.42</f>
        <v>710</v>
      </c>
      <c r="G2" s="1"/>
      <c r="H2" s="1"/>
    </row>
    <row r="3" spans="1:8" x14ac:dyDescent="0.25">
      <c r="A3" s="6">
        <v>3</v>
      </c>
      <c r="B3" s="6" t="s">
        <v>0</v>
      </c>
      <c r="C3" s="6">
        <v>70</v>
      </c>
      <c r="D3" s="7" t="s">
        <v>3</v>
      </c>
      <c r="E3" s="1">
        <v>14.1</v>
      </c>
      <c r="F3" s="1">
        <f t="shared" si="0"/>
        <v>20.021999999999998</v>
      </c>
      <c r="G3" s="1"/>
      <c r="H3" s="1"/>
    </row>
    <row r="4" spans="1:8" x14ac:dyDescent="0.25">
      <c r="A4" s="6">
        <v>4</v>
      </c>
      <c r="B4" s="6" t="s">
        <v>0</v>
      </c>
      <c r="C4" s="6">
        <v>35</v>
      </c>
      <c r="D4" s="7" t="s">
        <v>4</v>
      </c>
      <c r="E4" s="1">
        <v>13.82</v>
      </c>
      <c r="F4" s="1">
        <f t="shared" si="0"/>
        <v>19.624399999999998</v>
      </c>
      <c r="G4" s="1"/>
      <c r="H4" s="1"/>
    </row>
    <row r="5" spans="1:8" x14ac:dyDescent="0.25">
      <c r="A5" s="6">
        <v>5</v>
      </c>
      <c r="B5" s="6" t="s">
        <v>0</v>
      </c>
      <c r="C5" s="6">
        <v>35</v>
      </c>
      <c r="D5" s="7" t="s">
        <v>5</v>
      </c>
      <c r="E5" s="1">
        <v>400</v>
      </c>
      <c r="F5" s="1">
        <f t="shared" si="0"/>
        <v>568</v>
      </c>
      <c r="G5" s="1"/>
      <c r="H5" s="1"/>
    </row>
    <row r="6" spans="1:8" x14ac:dyDescent="0.25">
      <c r="A6" s="6">
        <v>6</v>
      </c>
      <c r="B6" s="6" t="s">
        <v>0</v>
      </c>
      <c r="C6" s="6">
        <v>35</v>
      </c>
      <c r="D6" s="7" t="s">
        <v>6</v>
      </c>
      <c r="E6" s="1">
        <v>450</v>
      </c>
      <c r="F6" s="1">
        <f t="shared" si="0"/>
        <v>639</v>
      </c>
      <c r="G6" s="1"/>
      <c r="H6" s="1"/>
    </row>
    <row r="7" spans="1:8" x14ac:dyDescent="0.25">
      <c r="A7" s="6">
        <v>7</v>
      </c>
      <c r="B7" s="6" t="s">
        <v>0</v>
      </c>
      <c r="C7" s="6">
        <v>35</v>
      </c>
      <c r="D7" s="7" t="s">
        <v>7</v>
      </c>
      <c r="E7" s="1">
        <v>16</v>
      </c>
      <c r="F7" s="1">
        <f t="shared" si="0"/>
        <v>22.72</v>
      </c>
      <c r="G7" s="1"/>
      <c r="H7" s="2" t="s">
        <v>8</v>
      </c>
    </row>
    <row r="8" spans="1:8" x14ac:dyDescent="0.25">
      <c r="A8" s="6">
        <v>8</v>
      </c>
      <c r="B8" s="6" t="s">
        <v>0</v>
      </c>
      <c r="C8" s="6">
        <v>20</v>
      </c>
      <c r="D8" s="7" t="s">
        <v>9</v>
      </c>
      <c r="E8" s="1">
        <v>80</v>
      </c>
      <c r="F8" s="1">
        <f t="shared" si="0"/>
        <v>113.6</v>
      </c>
      <c r="G8" s="1"/>
      <c r="H8" s="2" t="s">
        <v>10</v>
      </c>
    </row>
    <row r="9" spans="1:8" x14ac:dyDescent="0.25">
      <c r="A9" s="6">
        <v>9</v>
      </c>
      <c r="B9" s="6" t="s">
        <v>0</v>
      </c>
      <c r="C9" s="6">
        <v>70</v>
      </c>
      <c r="D9" s="7" t="s">
        <v>11</v>
      </c>
      <c r="E9" s="1">
        <v>24</v>
      </c>
      <c r="F9" s="1">
        <f t="shared" si="0"/>
        <v>34.08</v>
      </c>
      <c r="G9" s="1"/>
      <c r="H9" s="1" t="s">
        <v>12</v>
      </c>
    </row>
    <row r="10" spans="1:8" x14ac:dyDescent="0.25">
      <c r="A10" s="6">
        <v>10</v>
      </c>
      <c r="B10" s="6" t="s">
        <v>0</v>
      </c>
      <c r="C10" s="6">
        <v>35</v>
      </c>
      <c r="D10" s="7" t="s">
        <v>13</v>
      </c>
      <c r="E10" s="1">
        <v>10</v>
      </c>
      <c r="F10" s="1">
        <f t="shared" si="0"/>
        <v>14.2</v>
      </c>
      <c r="G10" s="1"/>
      <c r="H10" s="1">
        <v>51998312114</v>
      </c>
    </row>
    <row r="11" spans="1:8" x14ac:dyDescent="0.25">
      <c r="A11" s="6">
        <v>11</v>
      </c>
      <c r="B11" s="6" t="s">
        <v>0</v>
      </c>
      <c r="C11" s="6">
        <v>70</v>
      </c>
      <c r="D11" s="7" t="s">
        <v>14</v>
      </c>
      <c r="E11" s="1">
        <v>10</v>
      </c>
      <c r="F11" s="1">
        <f t="shared" si="0"/>
        <v>14.2</v>
      </c>
      <c r="G11" s="1"/>
      <c r="H11" s="1">
        <v>51998312114</v>
      </c>
    </row>
    <row r="12" spans="1:8" x14ac:dyDescent="0.25">
      <c r="A12" s="6">
        <v>12</v>
      </c>
      <c r="B12" s="6" t="s">
        <v>0</v>
      </c>
      <c r="C12" s="6">
        <v>20</v>
      </c>
      <c r="D12" s="7" t="s">
        <v>15</v>
      </c>
      <c r="E12" s="1">
        <f>17*4*1.9</f>
        <v>129.19999999999999</v>
      </c>
      <c r="F12" s="1">
        <f t="shared" si="0"/>
        <v>183.46399999999997</v>
      </c>
      <c r="G12" s="1"/>
      <c r="H12" s="2" t="s">
        <v>16</v>
      </c>
    </row>
    <row r="13" spans="1:8" x14ac:dyDescent="0.25">
      <c r="A13" s="6">
        <v>13</v>
      </c>
      <c r="B13" s="6" t="s">
        <v>0</v>
      </c>
      <c r="C13" s="6">
        <v>20</v>
      </c>
      <c r="D13" s="7" t="s">
        <v>17</v>
      </c>
      <c r="E13" s="1">
        <v>36</v>
      </c>
      <c r="F13" s="1">
        <v>150</v>
      </c>
      <c r="G13" s="1"/>
      <c r="H13" s="1">
        <v>51998312114</v>
      </c>
    </row>
    <row r="14" spans="1:8" x14ac:dyDescent="0.25">
      <c r="A14" s="6">
        <v>14</v>
      </c>
      <c r="B14" s="6" t="s">
        <v>0</v>
      </c>
      <c r="C14" s="6">
        <v>20</v>
      </c>
      <c r="D14" s="7" t="s">
        <v>18</v>
      </c>
      <c r="E14" s="1">
        <v>9</v>
      </c>
      <c r="F14" s="1">
        <f>E14*1.42</f>
        <v>12.78</v>
      </c>
      <c r="G14" s="1"/>
      <c r="H14" s="2" t="s">
        <v>19</v>
      </c>
    </row>
    <row r="15" spans="1:8" x14ac:dyDescent="0.25">
      <c r="A15" s="6">
        <v>15</v>
      </c>
      <c r="B15" s="6" t="s">
        <v>0</v>
      </c>
      <c r="C15" s="6">
        <v>15</v>
      </c>
      <c r="D15" s="7" t="s">
        <v>20</v>
      </c>
      <c r="E15" s="1">
        <v>80</v>
      </c>
      <c r="F15" s="1">
        <v>120</v>
      </c>
      <c r="G15" s="1"/>
      <c r="H15" s="1"/>
    </row>
    <row r="16" spans="1:8" x14ac:dyDescent="0.25">
      <c r="A16" s="6">
        <v>16</v>
      </c>
      <c r="B16" s="6" t="s">
        <v>21</v>
      </c>
      <c r="C16" s="6">
        <v>3</v>
      </c>
      <c r="D16" s="7" t="s">
        <v>22</v>
      </c>
      <c r="E16" s="1">
        <v>72</v>
      </c>
      <c r="F16" s="1">
        <f t="shared" ref="F16:F56" si="1">E16*1.42</f>
        <v>102.24</v>
      </c>
      <c r="G16" s="1"/>
      <c r="H16" s="2" t="s">
        <v>23</v>
      </c>
    </row>
    <row r="17" spans="1:8" x14ac:dyDescent="0.25">
      <c r="A17" s="6">
        <v>17</v>
      </c>
      <c r="B17" s="6" t="s">
        <v>0</v>
      </c>
      <c r="C17" s="6">
        <v>20</v>
      </c>
      <c r="D17" s="7" t="s">
        <v>24</v>
      </c>
      <c r="E17" s="1">
        <v>25.5</v>
      </c>
      <c r="F17" s="1">
        <f t="shared" si="1"/>
        <v>36.21</v>
      </c>
      <c r="G17" s="1"/>
      <c r="H17" s="1"/>
    </row>
    <row r="18" spans="1:8" x14ac:dyDescent="0.25">
      <c r="A18" s="6">
        <v>18</v>
      </c>
      <c r="B18" s="6" t="s">
        <v>0</v>
      </c>
      <c r="C18" s="6">
        <v>20</v>
      </c>
      <c r="D18" s="7" t="s">
        <v>25</v>
      </c>
      <c r="E18" s="1">
        <v>16</v>
      </c>
      <c r="F18" s="1">
        <f t="shared" si="1"/>
        <v>22.72</v>
      </c>
      <c r="G18" s="1"/>
      <c r="H18" s="2" t="s">
        <v>26</v>
      </c>
    </row>
    <row r="19" spans="1:8" x14ac:dyDescent="0.25">
      <c r="A19" s="6">
        <v>19</v>
      </c>
      <c r="B19" s="6" t="s">
        <v>21</v>
      </c>
      <c r="C19" s="6">
        <v>6</v>
      </c>
      <c r="D19" s="7" t="s">
        <v>27</v>
      </c>
      <c r="E19" s="1">
        <v>19</v>
      </c>
      <c r="F19" s="1">
        <f t="shared" si="1"/>
        <v>26.979999999999997</v>
      </c>
      <c r="G19" s="1"/>
      <c r="H19" s="2" t="s">
        <v>28</v>
      </c>
    </row>
    <row r="20" spans="1:8" x14ac:dyDescent="0.25">
      <c r="A20" s="6">
        <v>20</v>
      </c>
      <c r="B20" s="6" t="s">
        <v>0</v>
      </c>
      <c r="C20" s="6">
        <v>250</v>
      </c>
      <c r="D20" s="7" t="s">
        <v>29</v>
      </c>
      <c r="E20" s="1">
        <v>0.4</v>
      </c>
      <c r="F20" s="1">
        <f t="shared" si="1"/>
        <v>0.56799999999999995</v>
      </c>
      <c r="G20" s="1"/>
      <c r="H20" s="1"/>
    </row>
    <row r="21" spans="1:8" x14ac:dyDescent="0.25">
      <c r="A21" s="6">
        <v>21</v>
      </c>
      <c r="B21" s="6" t="s">
        <v>0</v>
      </c>
      <c r="C21" s="6">
        <v>250</v>
      </c>
      <c r="D21" s="7" t="s">
        <v>30</v>
      </c>
      <c r="E21" s="1">
        <v>0.3</v>
      </c>
      <c r="F21" s="1">
        <f t="shared" si="1"/>
        <v>0.42599999999999999</v>
      </c>
      <c r="G21" s="1"/>
      <c r="H21" s="1"/>
    </row>
    <row r="22" spans="1:8" x14ac:dyDescent="0.25">
      <c r="A22" s="6">
        <v>22</v>
      </c>
      <c r="B22" s="6" t="s">
        <v>0</v>
      </c>
      <c r="C22" s="6">
        <v>600</v>
      </c>
      <c r="D22" s="7" t="s">
        <v>31</v>
      </c>
      <c r="E22" s="1">
        <v>0.2</v>
      </c>
      <c r="F22" s="1">
        <f t="shared" si="1"/>
        <v>0.28399999999999997</v>
      </c>
      <c r="G22" s="1"/>
      <c r="H22" s="2" t="s">
        <v>32</v>
      </c>
    </row>
    <row r="23" spans="1:8" x14ac:dyDescent="0.25">
      <c r="A23" s="6">
        <v>23</v>
      </c>
      <c r="B23" s="6" t="s">
        <v>0</v>
      </c>
      <c r="C23" s="6">
        <v>600</v>
      </c>
      <c r="D23" s="7" t="s">
        <v>33</v>
      </c>
      <c r="E23" s="1">
        <v>0.5</v>
      </c>
      <c r="F23" s="1">
        <f t="shared" si="1"/>
        <v>0.71</v>
      </c>
      <c r="G23" s="1"/>
      <c r="H23" s="2" t="s">
        <v>34</v>
      </c>
    </row>
    <row r="24" spans="1:8" x14ac:dyDescent="0.25">
      <c r="A24" s="6">
        <v>24</v>
      </c>
      <c r="B24" s="6" t="s">
        <v>0</v>
      </c>
      <c r="C24" s="6">
        <v>600</v>
      </c>
      <c r="D24" s="7" t="s">
        <v>35</v>
      </c>
      <c r="E24" s="1">
        <v>0.1</v>
      </c>
      <c r="F24" s="1">
        <f t="shared" si="1"/>
        <v>0.14199999999999999</v>
      </c>
      <c r="G24" s="1"/>
      <c r="H24" s="1"/>
    </row>
    <row r="25" spans="1:8" x14ac:dyDescent="0.25">
      <c r="A25" s="6">
        <v>25</v>
      </c>
      <c r="B25" s="6" t="s">
        <v>0</v>
      </c>
      <c r="C25" s="6">
        <v>600</v>
      </c>
      <c r="D25" s="7" t="s">
        <v>36</v>
      </c>
      <c r="E25" s="1">
        <v>0.4</v>
      </c>
      <c r="F25" s="1">
        <f t="shared" si="1"/>
        <v>0.56799999999999995</v>
      </c>
      <c r="G25" s="1"/>
      <c r="H25" s="2" t="s">
        <v>37</v>
      </c>
    </row>
    <row r="26" spans="1:8" x14ac:dyDescent="0.25">
      <c r="A26" s="6">
        <v>26</v>
      </c>
      <c r="B26" s="6" t="s">
        <v>0</v>
      </c>
      <c r="C26" s="6">
        <v>10</v>
      </c>
      <c r="D26" s="7" t="s">
        <v>38</v>
      </c>
      <c r="E26" s="1">
        <v>5</v>
      </c>
      <c r="F26" s="1">
        <f t="shared" si="1"/>
        <v>7.1</v>
      </c>
      <c r="G26" s="1"/>
      <c r="H26" s="2" t="s">
        <v>39</v>
      </c>
    </row>
    <row r="27" spans="1:8" x14ac:dyDescent="0.25">
      <c r="A27" s="6">
        <v>27</v>
      </c>
      <c r="B27" s="6" t="s">
        <v>40</v>
      </c>
      <c r="C27" s="6">
        <v>40</v>
      </c>
      <c r="D27" s="7" t="s">
        <v>41</v>
      </c>
      <c r="E27" s="1">
        <v>10.5</v>
      </c>
      <c r="F27" s="1">
        <f t="shared" si="1"/>
        <v>14.91</v>
      </c>
      <c r="G27" s="1"/>
      <c r="H27" s="2" t="s">
        <v>42</v>
      </c>
    </row>
    <row r="28" spans="1:8" x14ac:dyDescent="0.25">
      <c r="A28" s="6">
        <v>28</v>
      </c>
      <c r="B28" s="6" t="s">
        <v>43</v>
      </c>
      <c r="C28" s="6">
        <v>20</v>
      </c>
      <c r="D28" s="7" t="s">
        <v>44</v>
      </c>
      <c r="E28" s="1">
        <v>8.1</v>
      </c>
      <c r="F28" s="1">
        <f t="shared" si="1"/>
        <v>11.501999999999999</v>
      </c>
      <c r="G28" s="1"/>
      <c r="H28" s="1" t="s">
        <v>45</v>
      </c>
    </row>
    <row r="29" spans="1:8" x14ac:dyDescent="0.25">
      <c r="A29" s="6">
        <v>29</v>
      </c>
      <c r="B29" s="6" t="s">
        <v>40</v>
      </c>
      <c r="C29" s="6">
        <v>30</v>
      </c>
      <c r="D29" s="7" t="s">
        <v>46</v>
      </c>
      <c r="E29" s="1">
        <v>7</v>
      </c>
      <c r="F29" s="1">
        <f t="shared" si="1"/>
        <v>9.94</v>
      </c>
      <c r="G29" s="1"/>
      <c r="H29" s="1" t="s">
        <v>45</v>
      </c>
    </row>
    <row r="30" spans="1:8" x14ac:dyDescent="0.25">
      <c r="A30" s="6">
        <v>30</v>
      </c>
      <c r="B30" s="6" t="s">
        <v>40</v>
      </c>
      <c r="C30" s="6">
        <v>20</v>
      </c>
      <c r="D30" s="7" t="s">
        <v>47</v>
      </c>
      <c r="E30" s="1">
        <v>25</v>
      </c>
      <c r="F30" s="1">
        <f t="shared" si="1"/>
        <v>35.5</v>
      </c>
      <c r="G30" s="1"/>
      <c r="H30" s="1" t="s">
        <v>45</v>
      </c>
    </row>
    <row r="31" spans="1:8" x14ac:dyDescent="0.25">
      <c r="A31" s="6">
        <v>31</v>
      </c>
      <c r="B31" s="6" t="s">
        <v>48</v>
      </c>
      <c r="C31" s="6">
        <v>150</v>
      </c>
      <c r="D31" s="7" t="s">
        <v>49</v>
      </c>
      <c r="E31" s="1">
        <v>3.8</v>
      </c>
      <c r="F31" s="1">
        <f t="shared" si="1"/>
        <v>5.3959999999999999</v>
      </c>
      <c r="G31" s="1"/>
      <c r="H31" s="1" t="s">
        <v>45</v>
      </c>
    </row>
    <row r="32" spans="1:8" x14ac:dyDescent="0.25">
      <c r="A32" s="6">
        <v>32</v>
      </c>
      <c r="B32" s="6" t="s">
        <v>40</v>
      </c>
      <c r="C32" s="6">
        <v>40</v>
      </c>
      <c r="D32" s="7" t="s">
        <v>50</v>
      </c>
      <c r="E32" s="1">
        <v>6.3</v>
      </c>
      <c r="F32" s="1">
        <f t="shared" si="1"/>
        <v>8.9459999999999997</v>
      </c>
      <c r="G32" s="1"/>
      <c r="H32" s="2" t="s">
        <v>51</v>
      </c>
    </row>
    <row r="33" spans="1:8" x14ac:dyDescent="0.25">
      <c r="A33" s="6">
        <v>33</v>
      </c>
      <c r="B33" s="6" t="s">
        <v>43</v>
      </c>
      <c r="C33" s="6">
        <v>30</v>
      </c>
      <c r="D33" s="7" t="s">
        <v>52</v>
      </c>
      <c r="E33" s="1">
        <v>9.8000000000000007</v>
      </c>
      <c r="F33" s="1">
        <f t="shared" si="1"/>
        <v>13.916</v>
      </c>
      <c r="G33" s="1"/>
      <c r="H33" s="1" t="s">
        <v>45</v>
      </c>
    </row>
    <row r="34" spans="1:8" x14ac:dyDescent="0.25">
      <c r="A34" s="6">
        <v>34</v>
      </c>
      <c r="B34" s="6" t="s">
        <v>40</v>
      </c>
      <c r="C34" s="6">
        <v>5</v>
      </c>
      <c r="D34" s="7" t="s">
        <v>53</v>
      </c>
      <c r="E34" s="1">
        <v>7.5</v>
      </c>
      <c r="F34" s="1">
        <f t="shared" si="1"/>
        <v>10.649999999999999</v>
      </c>
      <c r="G34" s="1"/>
      <c r="H34" s="1" t="s">
        <v>45</v>
      </c>
    </row>
    <row r="35" spans="1:8" x14ac:dyDescent="0.25">
      <c r="A35" s="6">
        <v>35</v>
      </c>
      <c r="B35" s="6" t="s">
        <v>40</v>
      </c>
      <c r="C35" s="6">
        <v>25</v>
      </c>
      <c r="D35" s="7" t="s">
        <v>54</v>
      </c>
      <c r="E35" s="1">
        <v>7.8</v>
      </c>
      <c r="F35" s="1">
        <f t="shared" si="1"/>
        <v>11.075999999999999</v>
      </c>
      <c r="G35" s="1"/>
      <c r="H35" s="1" t="s">
        <v>45</v>
      </c>
    </row>
    <row r="36" spans="1:8" x14ac:dyDescent="0.25">
      <c r="A36" s="6">
        <v>36</v>
      </c>
      <c r="B36" s="6" t="s">
        <v>40</v>
      </c>
      <c r="C36" s="6">
        <v>60</v>
      </c>
      <c r="D36" s="7" t="s">
        <v>55</v>
      </c>
      <c r="E36" s="1">
        <v>9.5</v>
      </c>
      <c r="F36" s="1">
        <f t="shared" si="1"/>
        <v>13.489999999999998</v>
      </c>
      <c r="G36" s="1"/>
      <c r="H36" s="1" t="s">
        <v>45</v>
      </c>
    </row>
    <row r="37" spans="1:8" x14ac:dyDescent="0.25">
      <c r="A37" s="6">
        <v>37</v>
      </c>
      <c r="B37" s="6" t="s">
        <v>40</v>
      </c>
      <c r="C37" s="6">
        <v>60</v>
      </c>
      <c r="D37" s="7" t="s">
        <v>56</v>
      </c>
      <c r="E37" s="1">
        <v>1.06</v>
      </c>
      <c r="F37" s="1">
        <f t="shared" si="1"/>
        <v>1.5052000000000001</v>
      </c>
      <c r="G37" s="1"/>
      <c r="H37" s="1" t="s">
        <v>45</v>
      </c>
    </row>
    <row r="38" spans="1:8" x14ac:dyDescent="0.25">
      <c r="A38" s="6">
        <v>38</v>
      </c>
      <c r="B38" s="6" t="s">
        <v>40</v>
      </c>
      <c r="C38" s="6">
        <v>10</v>
      </c>
      <c r="D38" s="7" t="s">
        <v>57</v>
      </c>
      <c r="E38" s="1">
        <v>6.5</v>
      </c>
      <c r="F38" s="1">
        <f t="shared" si="1"/>
        <v>9.23</v>
      </c>
      <c r="G38" s="1"/>
      <c r="H38" s="1" t="s">
        <v>45</v>
      </c>
    </row>
    <row r="39" spans="1:8" x14ac:dyDescent="0.25">
      <c r="A39" s="6">
        <v>39</v>
      </c>
      <c r="B39" s="6" t="s">
        <v>40</v>
      </c>
      <c r="C39" s="6">
        <v>50</v>
      </c>
      <c r="D39" s="7" t="s">
        <v>58</v>
      </c>
      <c r="E39" s="1">
        <v>4</v>
      </c>
      <c r="F39" s="1">
        <f t="shared" si="1"/>
        <v>5.68</v>
      </c>
      <c r="G39" s="1"/>
      <c r="H39" s="1" t="s">
        <v>45</v>
      </c>
    </row>
    <row r="40" spans="1:8" x14ac:dyDescent="0.25">
      <c r="A40" s="6">
        <v>40</v>
      </c>
      <c r="B40" s="6" t="s">
        <v>40</v>
      </c>
      <c r="C40" s="6">
        <v>20</v>
      </c>
      <c r="D40" s="7" t="s">
        <v>59</v>
      </c>
      <c r="E40" s="1">
        <v>2.5</v>
      </c>
      <c r="F40" s="1">
        <f t="shared" si="1"/>
        <v>3.55</v>
      </c>
      <c r="G40" s="1"/>
      <c r="H40" s="1" t="s">
        <v>45</v>
      </c>
    </row>
    <row r="41" spans="1:8" x14ac:dyDescent="0.25">
      <c r="A41" s="6">
        <v>41</v>
      </c>
      <c r="B41" s="6" t="s">
        <v>40</v>
      </c>
      <c r="C41" s="6">
        <v>70</v>
      </c>
      <c r="D41" s="7" t="s">
        <v>60</v>
      </c>
      <c r="E41" s="1">
        <v>1.5</v>
      </c>
      <c r="F41" s="1">
        <f t="shared" si="1"/>
        <v>2.13</v>
      </c>
      <c r="G41" s="1"/>
      <c r="H41" s="1" t="s">
        <v>45</v>
      </c>
    </row>
    <row r="42" spans="1:8" x14ac:dyDescent="0.25">
      <c r="A42" s="6">
        <v>42</v>
      </c>
      <c r="B42" s="6" t="s">
        <v>40</v>
      </c>
      <c r="C42" s="6">
        <v>50</v>
      </c>
      <c r="D42" s="7" t="s">
        <v>61</v>
      </c>
      <c r="E42" s="1">
        <v>8.6</v>
      </c>
      <c r="F42" s="1">
        <f t="shared" si="1"/>
        <v>12.212</v>
      </c>
      <c r="G42" s="1"/>
      <c r="H42" s="2" t="s">
        <v>62</v>
      </c>
    </row>
    <row r="43" spans="1:8" x14ac:dyDescent="0.25">
      <c r="A43" s="6">
        <v>43</v>
      </c>
      <c r="B43" s="6" t="s">
        <v>40</v>
      </c>
      <c r="C43" s="6">
        <v>40</v>
      </c>
      <c r="D43" s="7" t="s">
        <v>63</v>
      </c>
      <c r="E43" s="1">
        <v>32.799999999999997</v>
      </c>
      <c r="F43" s="1">
        <f t="shared" si="1"/>
        <v>46.575999999999993</v>
      </c>
      <c r="G43" s="1"/>
      <c r="H43" s="1" t="s">
        <v>45</v>
      </c>
    </row>
    <row r="44" spans="1:8" x14ac:dyDescent="0.25">
      <c r="A44" s="6">
        <v>44</v>
      </c>
      <c r="B44" s="6" t="s">
        <v>40</v>
      </c>
      <c r="C44" s="6">
        <v>20</v>
      </c>
      <c r="D44" s="7" t="s">
        <v>64</v>
      </c>
      <c r="E44" s="1">
        <v>27</v>
      </c>
      <c r="F44" s="1">
        <f t="shared" si="1"/>
        <v>38.339999999999996</v>
      </c>
      <c r="G44" s="1"/>
      <c r="H44" s="1"/>
    </row>
    <row r="45" spans="1:8" x14ac:dyDescent="0.25">
      <c r="A45" s="6">
        <v>45</v>
      </c>
      <c r="B45" s="6" t="s">
        <v>40</v>
      </c>
      <c r="C45" s="6">
        <v>9</v>
      </c>
      <c r="D45" s="7" t="s">
        <v>65</v>
      </c>
      <c r="E45" s="1">
        <v>17.899999999999999</v>
      </c>
      <c r="F45" s="1">
        <f t="shared" si="1"/>
        <v>25.417999999999996</v>
      </c>
      <c r="G45" s="1"/>
      <c r="H45" s="1"/>
    </row>
    <row r="46" spans="1:8" x14ac:dyDescent="0.25">
      <c r="A46" s="6">
        <v>46</v>
      </c>
      <c r="B46" s="6" t="s">
        <v>40</v>
      </c>
      <c r="C46" s="6">
        <v>1000</v>
      </c>
      <c r="D46" s="7" t="s">
        <v>66</v>
      </c>
      <c r="E46" s="1">
        <v>5.96</v>
      </c>
      <c r="F46" s="1">
        <f t="shared" si="1"/>
        <v>8.4631999999999987</v>
      </c>
      <c r="G46" s="1"/>
      <c r="H46" s="1"/>
    </row>
    <row r="47" spans="1:8" x14ac:dyDescent="0.25">
      <c r="A47" s="6">
        <v>47</v>
      </c>
      <c r="B47" s="6" t="s">
        <v>40</v>
      </c>
      <c r="C47" s="6">
        <v>200</v>
      </c>
      <c r="D47" s="7" t="s">
        <v>67</v>
      </c>
      <c r="E47" s="1">
        <v>0.23</v>
      </c>
      <c r="F47" s="1">
        <f t="shared" si="1"/>
        <v>0.3266</v>
      </c>
      <c r="G47" s="1"/>
      <c r="H47" s="1"/>
    </row>
    <row r="48" spans="1:8" x14ac:dyDescent="0.25">
      <c r="A48" s="6">
        <v>48</v>
      </c>
      <c r="B48" s="6" t="s">
        <v>40</v>
      </c>
      <c r="C48" s="6">
        <v>25</v>
      </c>
      <c r="D48" s="7" t="s">
        <v>68</v>
      </c>
      <c r="E48" s="1">
        <v>39</v>
      </c>
      <c r="F48" s="1">
        <f t="shared" si="1"/>
        <v>55.379999999999995</v>
      </c>
      <c r="G48" s="1"/>
      <c r="H48" s="1"/>
    </row>
    <row r="49" spans="1:8" x14ac:dyDescent="0.25">
      <c r="A49" s="6">
        <v>49</v>
      </c>
      <c r="B49" s="6" t="s">
        <v>40</v>
      </c>
      <c r="C49" s="6">
        <v>300</v>
      </c>
      <c r="D49" s="7" t="s">
        <v>69</v>
      </c>
      <c r="E49" s="1">
        <v>14.77</v>
      </c>
      <c r="F49" s="1">
        <f t="shared" si="1"/>
        <v>20.973399999999998</v>
      </c>
      <c r="G49" s="1"/>
      <c r="H49" s="1"/>
    </row>
    <row r="50" spans="1:8" x14ac:dyDescent="0.25">
      <c r="A50" s="6">
        <v>50</v>
      </c>
      <c r="B50" s="6" t="s">
        <v>40</v>
      </c>
      <c r="C50" s="6">
        <v>1000</v>
      </c>
      <c r="D50" s="7" t="s">
        <v>70</v>
      </c>
      <c r="E50" s="1">
        <v>0.47</v>
      </c>
      <c r="F50" s="1">
        <f t="shared" si="1"/>
        <v>0.66739999999999988</v>
      </c>
      <c r="G50" s="1"/>
      <c r="H50" s="1"/>
    </row>
    <row r="51" spans="1:8" x14ac:dyDescent="0.25">
      <c r="A51" s="6">
        <v>51</v>
      </c>
      <c r="B51" s="6" t="s">
        <v>40</v>
      </c>
      <c r="C51" s="6">
        <v>7000</v>
      </c>
      <c r="D51" s="7" t="s">
        <v>71</v>
      </c>
      <c r="E51" s="1">
        <v>0.18</v>
      </c>
      <c r="F51" s="1">
        <f t="shared" si="1"/>
        <v>0.25559999999999999</v>
      </c>
      <c r="G51" s="1"/>
      <c r="H51" s="1"/>
    </row>
    <row r="52" spans="1:8" x14ac:dyDescent="0.25">
      <c r="A52" s="6">
        <v>52</v>
      </c>
      <c r="B52" s="6" t="s">
        <v>72</v>
      </c>
      <c r="C52" s="6">
        <v>2</v>
      </c>
      <c r="D52" s="7" t="s">
        <v>73</v>
      </c>
      <c r="E52" s="1">
        <v>0.36</v>
      </c>
      <c r="F52" s="1">
        <f t="shared" si="1"/>
        <v>0.51119999999999999</v>
      </c>
      <c r="G52" s="1"/>
      <c r="H52" s="1"/>
    </row>
    <row r="53" spans="1:8" x14ac:dyDescent="0.25">
      <c r="A53" s="6">
        <v>53</v>
      </c>
      <c r="B53" s="6" t="s">
        <v>40</v>
      </c>
      <c r="C53" s="6">
        <v>50</v>
      </c>
      <c r="D53" s="7" t="s">
        <v>74</v>
      </c>
      <c r="E53" s="1">
        <v>7.5</v>
      </c>
      <c r="F53" s="1">
        <f t="shared" si="1"/>
        <v>10.649999999999999</v>
      </c>
      <c r="G53" s="1"/>
      <c r="H53" s="1"/>
    </row>
    <row r="54" spans="1:8" x14ac:dyDescent="0.25">
      <c r="A54" s="6">
        <v>54</v>
      </c>
      <c r="B54" s="6" t="s">
        <v>40</v>
      </c>
      <c r="C54" s="6">
        <v>15</v>
      </c>
      <c r="D54" s="7" t="s">
        <v>75</v>
      </c>
      <c r="E54" s="1">
        <v>46</v>
      </c>
      <c r="F54" s="1">
        <f t="shared" si="1"/>
        <v>65.319999999999993</v>
      </c>
      <c r="G54" s="1"/>
      <c r="H54" s="2" t="s">
        <v>76</v>
      </c>
    </row>
    <row r="55" spans="1:8" x14ac:dyDescent="0.25">
      <c r="A55" s="6">
        <v>55</v>
      </c>
      <c r="B55" s="6" t="s">
        <v>40</v>
      </c>
      <c r="C55" s="6">
        <v>5</v>
      </c>
      <c r="D55" s="7" t="s">
        <v>77</v>
      </c>
      <c r="E55" s="1">
        <v>32</v>
      </c>
      <c r="F55" s="1">
        <f t="shared" si="1"/>
        <v>45.44</v>
      </c>
      <c r="G55" s="1"/>
      <c r="H55" s="2" t="s">
        <v>78</v>
      </c>
    </row>
    <row r="56" spans="1:8" x14ac:dyDescent="0.25">
      <c r="A56" s="6">
        <v>56</v>
      </c>
      <c r="B56" s="6" t="s">
        <v>40</v>
      </c>
      <c r="C56" s="6">
        <v>3</v>
      </c>
      <c r="D56" s="1" t="s">
        <v>79</v>
      </c>
      <c r="E56" s="1">
        <v>60</v>
      </c>
      <c r="F56" s="1">
        <f t="shared" si="1"/>
        <v>85.199999999999989</v>
      </c>
      <c r="G56" s="1"/>
      <c r="H56" s="2" t="s">
        <v>80</v>
      </c>
    </row>
    <row r="57" spans="1:8" x14ac:dyDescent="0.25">
      <c r="A57" s="6">
        <v>57</v>
      </c>
      <c r="B57" s="3" t="s">
        <v>40</v>
      </c>
      <c r="C57" s="3">
        <v>50</v>
      </c>
      <c r="D57" s="1" t="s">
        <v>81</v>
      </c>
      <c r="E57" s="1">
        <v>0.7</v>
      </c>
      <c r="F57" s="1">
        <f t="shared" ref="F57:F100" si="2">E57*1.55</f>
        <v>1.085</v>
      </c>
      <c r="G57" s="1"/>
      <c r="H57" s="1">
        <v>981275505</v>
      </c>
    </row>
    <row r="58" spans="1:8" x14ac:dyDescent="0.25">
      <c r="A58" s="6">
        <v>58</v>
      </c>
      <c r="B58" s="3" t="s">
        <v>40</v>
      </c>
      <c r="C58" s="3">
        <v>50</v>
      </c>
      <c r="D58" s="1" t="s">
        <v>82</v>
      </c>
      <c r="E58" s="1">
        <v>1.1000000000000001</v>
      </c>
      <c r="F58" s="1">
        <f t="shared" si="2"/>
        <v>1.7050000000000003</v>
      </c>
      <c r="G58" s="1"/>
      <c r="H58" s="1">
        <v>981275505</v>
      </c>
    </row>
    <row r="59" spans="1:8" x14ac:dyDescent="0.25">
      <c r="A59" s="6">
        <v>59</v>
      </c>
      <c r="B59" s="3" t="s">
        <v>40</v>
      </c>
      <c r="C59" s="3">
        <v>50</v>
      </c>
      <c r="D59" s="1" t="s">
        <v>83</v>
      </c>
      <c r="E59" s="1">
        <v>1.3</v>
      </c>
      <c r="F59" s="1">
        <f t="shared" si="2"/>
        <v>2.0150000000000001</v>
      </c>
      <c r="G59" s="1"/>
      <c r="H59" s="1">
        <v>981275505</v>
      </c>
    </row>
    <row r="60" spans="1:8" x14ac:dyDescent="0.25">
      <c r="A60" s="6">
        <v>60</v>
      </c>
      <c r="B60" s="3" t="s">
        <v>40</v>
      </c>
      <c r="C60" s="3">
        <v>50</v>
      </c>
      <c r="D60" s="1" t="s">
        <v>84</v>
      </c>
      <c r="E60" s="1">
        <v>2.2000000000000002</v>
      </c>
      <c r="F60" s="1">
        <f t="shared" si="2"/>
        <v>3.4100000000000006</v>
      </c>
      <c r="G60" s="1"/>
      <c r="H60" s="1">
        <v>981275505</v>
      </c>
    </row>
    <row r="61" spans="1:8" x14ac:dyDescent="0.25">
      <c r="A61" s="6">
        <v>61</v>
      </c>
      <c r="B61" s="3" t="s">
        <v>40</v>
      </c>
      <c r="C61" s="3">
        <v>50</v>
      </c>
      <c r="D61" s="1" t="s">
        <v>85</v>
      </c>
      <c r="E61" s="1">
        <v>3.2</v>
      </c>
      <c r="F61" s="1">
        <f t="shared" si="2"/>
        <v>4.9600000000000009</v>
      </c>
      <c r="G61" s="1"/>
      <c r="H61" s="1">
        <v>981275505</v>
      </c>
    </row>
    <row r="62" spans="1:8" x14ac:dyDescent="0.25">
      <c r="A62" s="6">
        <v>62</v>
      </c>
      <c r="B62" s="3" t="s">
        <v>40</v>
      </c>
      <c r="C62" s="3">
        <v>50</v>
      </c>
      <c r="D62" s="1" t="s">
        <v>86</v>
      </c>
      <c r="E62" s="1">
        <v>4.2</v>
      </c>
      <c r="F62" s="1">
        <f t="shared" si="2"/>
        <v>6.5100000000000007</v>
      </c>
      <c r="G62" s="1"/>
      <c r="H62" s="1">
        <v>981275505</v>
      </c>
    </row>
    <row r="63" spans="1:8" x14ac:dyDescent="0.25">
      <c r="A63" s="6">
        <v>63</v>
      </c>
      <c r="B63" s="3" t="s">
        <v>40</v>
      </c>
      <c r="C63" s="3">
        <v>50</v>
      </c>
      <c r="D63" s="1" t="s">
        <v>87</v>
      </c>
      <c r="E63" s="1">
        <v>2.95</v>
      </c>
      <c r="F63" s="1">
        <f t="shared" si="2"/>
        <v>4.5725000000000007</v>
      </c>
      <c r="G63" s="1"/>
      <c r="H63" s="1">
        <v>981275505</v>
      </c>
    </row>
    <row r="64" spans="1:8" x14ac:dyDescent="0.25">
      <c r="A64" s="6">
        <v>64</v>
      </c>
      <c r="B64" s="3" t="s">
        <v>40</v>
      </c>
      <c r="C64" s="3">
        <v>50</v>
      </c>
      <c r="D64" s="1" t="s">
        <v>88</v>
      </c>
      <c r="E64" s="1">
        <v>5.4</v>
      </c>
      <c r="F64" s="1">
        <f t="shared" si="2"/>
        <v>8.370000000000001</v>
      </c>
      <c r="G64" s="1"/>
      <c r="H64" s="1">
        <v>981275505</v>
      </c>
    </row>
    <row r="65" spans="1:8" x14ac:dyDescent="0.25">
      <c r="A65" s="6">
        <v>65</v>
      </c>
      <c r="B65" s="3" t="s">
        <v>40</v>
      </c>
      <c r="C65" s="3">
        <v>1</v>
      </c>
      <c r="D65" s="1" t="s">
        <v>89</v>
      </c>
      <c r="E65" s="1">
        <v>3800</v>
      </c>
      <c r="F65" s="1">
        <f t="shared" si="2"/>
        <v>5890</v>
      </c>
      <c r="G65" s="1"/>
      <c r="H65" s="1">
        <v>969645112</v>
      </c>
    </row>
    <row r="66" spans="1:8" x14ac:dyDescent="0.25">
      <c r="A66" s="6">
        <v>66</v>
      </c>
      <c r="B66" s="3" t="s">
        <v>40</v>
      </c>
      <c r="C66" s="3">
        <v>1</v>
      </c>
      <c r="D66" s="1" t="s">
        <v>90</v>
      </c>
      <c r="E66" s="1">
        <v>145</v>
      </c>
      <c r="F66" s="1">
        <f t="shared" si="2"/>
        <v>224.75</v>
      </c>
      <c r="G66" s="1"/>
      <c r="H66" s="1">
        <v>969645112</v>
      </c>
    </row>
    <row r="67" spans="1:8" x14ac:dyDescent="0.25">
      <c r="A67" s="6">
        <v>67</v>
      </c>
      <c r="B67" s="3" t="s">
        <v>40</v>
      </c>
      <c r="C67" s="3">
        <v>20</v>
      </c>
      <c r="D67" s="1" t="s">
        <v>91</v>
      </c>
      <c r="E67" s="1">
        <v>1</v>
      </c>
      <c r="F67" s="1">
        <f t="shared" si="2"/>
        <v>1.55</v>
      </c>
      <c r="G67" s="1"/>
      <c r="H67" s="1">
        <v>970615593</v>
      </c>
    </row>
    <row r="68" spans="1:8" x14ac:dyDescent="0.25">
      <c r="A68" s="6">
        <v>68</v>
      </c>
      <c r="B68" s="3" t="s">
        <v>40</v>
      </c>
      <c r="C68" s="3">
        <v>20</v>
      </c>
      <c r="D68" s="1" t="s">
        <v>92</v>
      </c>
      <c r="E68" s="1">
        <v>1</v>
      </c>
      <c r="F68" s="1">
        <f t="shared" si="2"/>
        <v>1.55</v>
      </c>
      <c r="G68" s="1"/>
      <c r="H68" s="1">
        <v>970615593</v>
      </c>
    </row>
    <row r="69" spans="1:8" x14ac:dyDescent="0.25">
      <c r="A69" s="6">
        <v>69</v>
      </c>
      <c r="B69" s="3" t="s">
        <v>40</v>
      </c>
      <c r="C69" s="3">
        <v>20</v>
      </c>
      <c r="D69" s="1" t="s">
        <v>93</v>
      </c>
      <c r="E69" s="1">
        <v>0.7</v>
      </c>
      <c r="F69" s="1">
        <f t="shared" si="2"/>
        <v>1.085</v>
      </c>
      <c r="G69" s="1"/>
      <c r="H69" s="1">
        <v>970615593</v>
      </c>
    </row>
    <row r="70" spans="1:8" x14ac:dyDescent="0.25">
      <c r="A70" s="6">
        <v>70</v>
      </c>
      <c r="B70" s="3" t="s">
        <v>40</v>
      </c>
      <c r="C70" s="3">
        <v>20</v>
      </c>
      <c r="D70" s="1" t="s">
        <v>94</v>
      </c>
      <c r="E70" s="1">
        <v>0.7</v>
      </c>
      <c r="F70" s="1">
        <f t="shared" si="2"/>
        <v>1.085</v>
      </c>
      <c r="G70" s="1"/>
      <c r="H70" s="1">
        <v>970615593</v>
      </c>
    </row>
    <row r="71" spans="1:8" x14ac:dyDescent="0.25">
      <c r="A71" s="6">
        <v>71</v>
      </c>
      <c r="B71" s="3" t="s">
        <v>40</v>
      </c>
      <c r="C71" s="3">
        <v>20</v>
      </c>
      <c r="D71" s="1" t="s">
        <v>95</v>
      </c>
      <c r="E71" s="1">
        <v>0.7</v>
      </c>
      <c r="F71" s="1">
        <f t="shared" si="2"/>
        <v>1.085</v>
      </c>
      <c r="G71" s="1"/>
      <c r="H71" s="1">
        <v>970615593</v>
      </c>
    </row>
    <row r="72" spans="1:8" x14ac:dyDescent="0.25">
      <c r="A72" s="6">
        <v>72</v>
      </c>
      <c r="B72" s="3" t="s">
        <v>96</v>
      </c>
      <c r="C72" s="3">
        <v>10</v>
      </c>
      <c r="D72" s="1" t="s">
        <v>97</v>
      </c>
      <c r="E72" s="1">
        <v>6</v>
      </c>
      <c r="F72" s="1">
        <f t="shared" si="2"/>
        <v>9.3000000000000007</v>
      </c>
      <c r="G72" s="1"/>
      <c r="H72" s="1">
        <v>970615593</v>
      </c>
    </row>
    <row r="73" spans="1:8" x14ac:dyDescent="0.25">
      <c r="A73" s="6">
        <v>73</v>
      </c>
      <c r="B73" s="3" t="s">
        <v>98</v>
      </c>
      <c r="C73" s="3">
        <v>100</v>
      </c>
      <c r="D73" s="1" t="s">
        <v>99</v>
      </c>
      <c r="E73" s="1">
        <v>200</v>
      </c>
      <c r="F73" s="1">
        <f t="shared" si="2"/>
        <v>310</v>
      </c>
      <c r="G73" s="1"/>
      <c r="H73" s="1">
        <v>970615593</v>
      </c>
    </row>
    <row r="74" spans="1:8" x14ac:dyDescent="0.25">
      <c r="A74" s="6">
        <v>74</v>
      </c>
      <c r="B74" s="3" t="s">
        <v>98</v>
      </c>
      <c r="C74" s="3">
        <v>100</v>
      </c>
      <c r="D74" s="1" t="s">
        <v>100</v>
      </c>
      <c r="E74" s="1">
        <v>260</v>
      </c>
      <c r="F74" s="1">
        <f t="shared" si="2"/>
        <v>403</v>
      </c>
      <c r="G74" s="1"/>
      <c r="H74" s="1">
        <v>912902351</v>
      </c>
    </row>
    <row r="75" spans="1:8" x14ac:dyDescent="0.25">
      <c r="A75" s="6">
        <v>75</v>
      </c>
      <c r="B75" s="3" t="s">
        <v>98</v>
      </c>
      <c r="C75" s="3">
        <v>100</v>
      </c>
      <c r="D75" s="1" t="s">
        <v>101</v>
      </c>
      <c r="E75" s="1">
        <v>490</v>
      </c>
      <c r="F75" s="1">
        <f t="shared" si="2"/>
        <v>759.5</v>
      </c>
      <c r="G75" s="1"/>
      <c r="H75" s="1">
        <v>970615593</v>
      </c>
    </row>
    <row r="76" spans="1:8" x14ac:dyDescent="0.25">
      <c r="A76" s="6">
        <v>76</v>
      </c>
      <c r="B76" s="3" t="s">
        <v>40</v>
      </c>
      <c r="C76" s="3">
        <v>12</v>
      </c>
      <c r="D76" s="1" t="s">
        <v>102</v>
      </c>
      <c r="E76" s="1">
        <v>2.5</v>
      </c>
      <c r="F76" s="1">
        <f t="shared" si="2"/>
        <v>3.875</v>
      </c>
      <c r="G76" s="1"/>
      <c r="H76" s="2" t="s">
        <v>103</v>
      </c>
    </row>
    <row r="77" spans="1:8" x14ac:dyDescent="0.25">
      <c r="A77" s="6">
        <v>77</v>
      </c>
      <c r="B77" s="3" t="s">
        <v>48</v>
      </c>
      <c r="C77" s="3">
        <v>10</v>
      </c>
      <c r="D77" s="1" t="s">
        <v>104</v>
      </c>
      <c r="E77" s="1">
        <v>5</v>
      </c>
      <c r="F77" s="1">
        <f t="shared" si="2"/>
        <v>7.75</v>
      </c>
      <c r="G77" s="1"/>
      <c r="H77" s="2" t="s">
        <v>105</v>
      </c>
    </row>
    <row r="78" spans="1:8" x14ac:dyDescent="0.25">
      <c r="A78" s="6">
        <v>78</v>
      </c>
      <c r="B78" s="3" t="s">
        <v>40</v>
      </c>
      <c r="C78" s="3">
        <v>25</v>
      </c>
      <c r="D78" s="1" t="s">
        <v>106</v>
      </c>
      <c r="E78" s="1">
        <v>3.1</v>
      </c>
      <c r="F78" s="1">
        <f t="shared" si="2"/>
        <v>4.8050000000000006</v>
      </c>
      <c r="G78" s="1"/>
      <c r="H78" s="2" t="s">
        <v>107</v>
      </c>
    </row>
    <row r="79" spans="1:8" x14ac:dyDescent="0.25">
      <c r="A79" s="6">
        <v>79</v>
      </c>
      <c r="B79" s="3" t="s">
        <v>40</v>
      </c>
      <c r="C79" s="3">
        <v>25</v>
      </c>
      <c r="D79" s="1" t="s">
        <v>108</v>
      </c>
      <c r="E79" s="1">
        <v>2.4</v>
      </c>
      <c r="F79" s="1">
        <f t="shared" si="2"/>
        <v>3.7199999999999998</v>
      </c>
      <c r="G79" s="1"/>
      <c r="H79" s="2" t="s">
        <v>109</v>
      </c>
    </row>
    <row r="80" spans="1:8" x14ac:dyDescent="0.25">
      <c r="A80" s="6">
        <v>80</v>
      </c>
      <c r="B80" s="3" t="s">
        <v>40</v>
      </c>
      <c r="C80" s="3">
        <v>25</v>
      </c>
      <c r="D80" s="1" t="s">
        <v>110</v>
      </c>
      <c r="E80" s="1">
        <v>3</v>
      </c>
      <c r="F80" s="1">
        <f t="shared" si="2"/>
        <v>4.6500000000000004</v>
      </c>
      <c r="G80" s="1"/>
      <c r="H80" s="2" t="s">
        <v>111</v>
      </c>
    </row>
    <row r="81" spans="1:8" x14ac:dyDescent="0.25">
      <c r="A81" s="6">
        <v>81</v>
      </c>
      <c r="B81" s="3" t="s">
        <v>112</v>
      </c>
      <c r="C81" s="3">
        <v>4</v>
      </c>
      <c r="D81" s="1" t="s">
        <v>113</v>
      </c>
      <c r="E81" s="1">
        <v>67</v>
      </c>
      <c r="F81" s="1">
        <f t="shared" si="2"/>
        <v>103.85000000000001</v>
      </c>
      <c r="G81" s="1"/>
      <c r="H81" s="1">
        <v>982095564</v>
      </c>
    </row>
    <row r="82" spans="1:8" x14ac:dyDescent="0.25">
      <c r="A82" s="6">
        <v>82</v>
      </c>
      <c r="B82" s="3" t="s">
        <v>112</v>
      </c>
      <c r="C82" s="3">
        <v>2</v>
      </c>
      <c r="D82" s="1" t="s">
        <v>114</v>
      </c>
      <c r="E82" s="1">
        <v>67</v>
      </c>
      <c r="F82" s="1">
        <f t="shared" si="2"/>
        <v>103.85000000000001</v>
      </c>
      <c r="G82" s="1"/>
      <c r="H82" s="1">
        <v>982095564</v>
      </c>
    </row>
    <row r="83" spans="1:8" x14ac:dyDescent="0.25">
      <c r="A83" s="6">
        <v>83</v>
      </c>
      <c r="B83" s="3" t="s">
        <v>112</v>
      </c>
      <c r="C83" s="3">
        <v>2</v>
      </c>
      <c r="D83" s="1" t="s">
        <v>115</v>
      </c>
      <c r="E83" s="1">
        <v>67</v>
      </c>
      <c r="F83" s="1">
        <f t="shared" si="2"/>
        <v>103.85000000000001</v>
      </c>
      <c r="G83" s="1"/>
      <c r="H83" s="1">
        <v>982095564</v>
      </c>
    </row>
    <row r="84" spans="1:8" x14ac:dyDescent="0.25">
      <c r="A84" s="6">
        <v>84</v>
      </c>
      <c r="B84" s="3" t="s">
        <v>40</v>
      </c>
      <c r="C84" s="3">
        <v>10</v>
      </c>
      <c r="D84" s="1" t="s">
        <v>116</v>
      </c>
      <c r="E84" s="1">
        <v>15</v>
      </c>
      <c r="F84" s="1">
        <f t="shared" si="2"/>
        <v>23.25</v>
      </c>
      <c r="G84" s="1"/>
      <c r="H84" s="2" t="s">
        <v>117</v>
      </c>
    </row>
    <row r="85" spans="1:8" x14ac:dyDescent="0.25">
      <c r="A85" s="6">
        <v>85</v>
      </c>
      <c r="B85" s="3" t="s">
        <v>40</v>
      </c>
      <c r="C85" s="3">
        <v>1</v>
      </c>
      <c r="D85" s="1" t="s">
        <v>118</v>
      </c>
      <c r="E85" s="1">
        <v>1650</v>
      </c>
      <c r="F85" s="1">
        <f t="shared" si="2"/>
        <v>2557.5</v>
      </c>
      <c r="G85" s="1"/>
      <c r="H85" s="1">
        <v>991340716</v>
      </c>
    </row>
    <row r="86" spans="1:8" x14ac:dyDescent="0.25">
      <c r="A86" s="6">
        <v>86</v>
      </c>
      <c r="B86" s="3" t="s">
        <v>40</v>
      </c>
      <c r="C86" s="3">
        <v>10</v>
      </c>
      <c r="D86" s="1" t="s">
        <v>119</v>
      </c>
      <c r="E86" s="1">
        <v>2.9</v>
      </c>
      <c r="F86" s="1">
        <f t="shared" si="2"/>
        <v>4.4950000000000001</v>
      </c>
      <c r="G86" s="1"/>
      <c r="H86" s="2" t="s">
        <v>120</v>
      </c>
    </row>
    <row r="87" spans="1:8" x14ac:dyDescent="0.25">
      <c r="A87" s="6">
        <v>87</v>
      </c>
      <c r="B87" s="3" t="s">
        <v>121</v>
      </c>
      <c r="C87" s="3">
        <v>30</v>
      </c>
      <c r="D87" s="1" t="s">
        <v>122</v>
      </c>
      <c r="E87" s="1">
        <v>15.5</v>
      </c>
      <c r="F87" s="1">
        <f t="shared" si="2"/>
        <v>24.025000000000002</v>
      </c>
      <c r="G87" s="1"/>
      <c r="H87" s="1">
        <v>984382933</v>
      </c>
    </row>
    <row r="88" spans="1:8" x14ac:dyDescent="0.25">
      <c r="A88" s="6">
        <v>88</v>
      </c>
      <c r="B88" s="3" t="s">
        <v>121</v>
      </c>
      <c r="C88" s="3">
        <v>50</v>
      </c>
      <c r="D88" s="1" t="s">
        <v>123</v>
      </c>
      <c r="E88" s="1">
        <v>75</v>
      </c>
      <c r="F88" s="1">
        <f t="shared" si="2"/>
        <v>116.25</v>
      </c>
      <c r="G88" s="1"/>
      <c r="H88" s="1">
        <v>971298112</v>
      </c>
    </row>
    <row r="89" spans="1:8" x14ac:dyDescent="0.25">
      <c r="A89" s="6">
        <v>89</v>
      </c>
      <c r="B89" s="3" t="s">
        <v>40</v>
      </c>
      <c r="C89" s="3">
        <v>10</v>
      </c>
      <c r="D89" s="1" t="s">
        <v>124</v>
      </c>
      <c r="E89" s="1">
        <v>6</v>
      </c>
      <c r="F89" s="1">
        <f t="shared" si="2"/>
        <v>9.3000000000000007</v>
      </c>
      <c r="G89" s="1"/>
      <c r="H89" s="1" t="s">
        <v>125</v>
      </c>
    </row>
    <row r="90" spans="1:8" x14ac:dyDescent="0.25">
      <c r="A90" s="6">
        <v>90</v>
      </c>
      <c r="B90" s="3" t="s">
        <v>40</v>
      </c>
      <c r="C90" s="3">
        <v>3</v>
      </c>
      <c r="D90" s="1" t="s">
        <v>126</v>
      </c>
      <c r="E90" s="1">
        <v>115</v>
      </c>
      <c r="F90" s="1">
        <f t="shared" si="2"/>
        <v>178.25</v>
      </c>
      <c r="G90" s="1"/>
      <c r="H90" s="1">
        <v>939126936</v>
      </c>
    </row>
    <row r="91" spans="1:8" x14ac:dyDescent="0.25">
      <c r="A91" s="6">
        <v>91</v>
      </c>
      <c r="B91" s="3" t="s">
        <v>40</v>
      </c>
      <c r="C91" s="3">
        <v>4</v>
      </c>
      <c r="D91" s="1" t="s">
        <v>127</v>
      </c>
      <c r="E91" s="1">
        <v>115</v>
      </c>
      <c r="F91" s="1">
        <f t="shared" si="2"/>
        <v>178.25</v>
      </c>
      <c r="G91" s="1"/>
      <c r="H91" s="1">
        <v>939126936</v>
      </c>
    </row>
    <row r="92" spans="1:8" x14ac:dyDescent="0.25">
      <c r="A92" s="6">
        <v>92</v>
      </c>
      <c r="B92" s="3" t="s">
        <v>40</v>
      </c>
      <c r="C92" s="3">
        <v>5</v>
      </c>
      <c r="D92" s="1" t="s">
        <v>128</v>
      </c>
      <c r="E92" s="1">
        <v>115</v>
      </c>
      <c r="F92" s="1">
        <f t="shared" si="2"/>
        <v>178.25</v>
      </c>
      <c r="G92" s="1"/>
      <c r="H92" s="1">
        <v>939126936</v>
      </c>
    </row>
    <row r="93" spans="1:8" x14ac:dyDescent="0.25">
      <c r="A93" s="6">
        <v>93</v>
      </c>
      <c r="B93" s="3" t="s">
        <v>40</v>
      </c>
      <c r="C93" s="3">
        <v>3</v>
      </c>
      <c r="D93" s="1" t="s">
        <v>129</v>
      </c>
      <c r="E93" s="1">
        <v>115</v>
      </c>
      <c r="F93" s="1">
        <f t="shared" si="2"/>
        <v>178.25</v>
      </c>
      <c r="G93" s="1"/>
      <c r="H93" s="1">
        <v>939126936</v>
      </c>
    </row>
    <row r="94" spans="1:8" x14ac:dyDescent="0.25">
      <c r="A94" s="6">
        <v>94</v>
      </c>
      <c r="B94" s="3" t="s">
        <v>40</v>
      </c>
      <c r="C94" s="3">
        <v>5</v>
      </c>
      <c r="D94" s="1" t="s">
        <v>130</v>
      </c>
      <c r="E94" s="1">
        <v>115</v>
      </c>
      <c r="F94" s="1">
        <f t="shared" si="2"/>
        <v>178.25</v>
      </c>
      <c r="G94" s="1"/>
      <c r="H94" s="1">
        <v>939126936</v>
      </c>
    </row>
    <row r="95" spans="1:8" x14ac:dyDescent="0.25">
      <c r="A95" s="6">
        <v>95</v>
      </c>
      <c r="B95" s="3" t="s">
        <v>40</v>
      </c>
      <c r="C95" s="3">
        <v>4</v>
      </c>
      <c r="D95" s="1" t="s">
        <v>131</v>
      </c>
      <c r="E95" s="1">
        <v>115</v>
      </c>
      <c r="F95" s="1">
        <f t="shared" si="2"/>
        <v>178.25</v>
      </c>
      <c r="G95" s="1"/>
      <c r="H95" s="1">
        <v>939126936</v>
      </c>
    </row>
    <row r="96" spans="1:8" x14ac:dyDescent="0.25">
      <c r="A96" s="6">
        <v>96</v>
      </c>
      <c r="B96" s="3" t="s">
        <v>112</v>
      </c>
      <c r="C96" s="3">
        <v>2</v>
      </c>
      <c r="D96" s="1" t="s">
        <v>132</v>
      </c>
      <c r="E96" s="1">
        <v>67</v>
      </c>
      <c r="F96" s="1">
        <f t="shared" si="2"/>
        <v>103.85000000000001</v>
      </c>
      <c r="G96" s="1"/>
      <c r="H96" s="1">
        <v>982095564</v>
      </c>
    </row>
    <row r="97" spans="1:8" x14ac:dyDescent="0.25">
      <c r="A97" s="6">
        <v>97</v>
      </c>
      <c r="B97" s="3" t="s">
        <v>40</v>
      </c>
      <c r="C97" s="3">
        <v>60</v>
      </c>
      <c r="D97" s="1" t="s">
        <v>133</v>
      </c>
      <c r="E97" s="1">
        <v>5.3</v>
      </c>
      <c r="F97" s="1">
        <f t="shared" si="2"/>
        <v>8.2149999999999999</v>
      </c>
      <c r="G97" s="1"/>
      <c r="H97" s="2" t="s">
        <v>134</v>
      </c>
    </row>
    <row r="98" spans="1:8" x14ac:dyDescent="0.25">
      <c r="A98" s="6">
        <v>98</v>
      </c>
      <c r="B98" s="3" t="s">
        <v>135</v>
      </c>
      <c r="C98" s="3">
        <v>144</v>
      </c>
      <c r="D98" s="1" t="s">
        <v>136</v>
      </c>
      <c r="E98" s="1">
        <v>360</v>
      </c>
      <c r="F98" s="1">
        <f t="shared" si="2"/>
        <v>558</v>
      </c>
      <c r="G98" s="1"/>
      <c r="H98" s="1">
        <v>934532428</v>
      </c>
    </row>
    <row r="99" spans="1:8" x14ac:dyDescent="0.25">
      <c r="A99" s="6">
        <v>99</v>
      </c>
      <c r="B99" s="3" t="s">
        <v>48</v>
      </c>
      <c r="C99" s="3">
        <v>30</v>
      </c>
      <c r="D99" s="1" t="s">
        <v>137</v>
      </c>
      <c r="E99" s="1">
        <v>6.5</v>
      </c>
      <c r="F99" s="1">
        <f t="shared" si="2"/>
        <v>10.075000000000001</v>
      </c>
      <c r="G99" s="1"/>
      <c r="H99" s="1">
        <v>947360916</v>
      </c>
    </row>
    <row r="100" spans="1:8" x14ac:dyDescent="0.25">
      <c r="A100" s="6">
        <v>100</v>
      </c>
      <c r="B100" s="3" t="s">
        <v>40</v>
      </c>
      <c r="C100" s="3">
        <v>2</v>
      </c>
      <c r="D100" s="1" t="s">
        <v>138</v>
      </c>
      <c r="E100" s="1">
        <v>40</v>
      </c>
      <c r="F100" s="1">
        <f t="shared" si="2"/>
        <v>62</v>
      </c>
      <c r="G100" s="1"/>
      <c r="H100" s="2" t="s">
        <v>139</v>
      </c>
    </row>
  </sheetData>
  <hyperlinks>
    <hyperlink ref="H7" r:id="rId1" xr:uid="{49DCAAB6-5632-408A-B58D-04CCA8635CEA}"/>
    <hyperlink ref="H14" r:id="rId2" xr:uid="{87D5431D-F543-4359-8C3A-0FC2119A5AF9}"/>
    <hyperlink ref="H1" r:id="rId3" display="https://www.promelsa.com.pe/cable-de-arrastre-vulcanizado-nlt-3x14awg-500v-x-rollo-practicable-1042395.html?gad_source=1&amp;gbraid=0AAAAAoOzt1IWwCp5NPYJeiNw10dGwuIpJ&amp;gclid=CjwKCAjwtdi_BhACEiwA97y8BJGL_4jmgzDQ8QPsAe0JRprWCItaRTUxcs4UaOa-Ch9D-qKNnKh8zBoC-_sQAvD_BwE" xr:uid="{9D82E824-7721-4472-910D-4EBA15CB134A}"/>
    <hyperlink ref="H55" r:id="rId4" xr:uid="{14A06293-EA91-4C51-A17F-84FF4E08CF92}"/>
    <hyperlink ref="H56" r:id="rId5" xr:uid="{DE0ABFA2-7959-4D9E-BB44-A39AE0746E87}"/>
    <hyperlink ref="H8" r:id="rId6" xr:uid="{19E6AFB0-65CE-487C-8BF4-498D450D7348}"/>
    <hyperlink ref="H12" r:id="rId7" xr:uid="{B093D581-D88C-4D68-BBAC-29FD4C86C51F}"/>
    <hyperlink ref="H16" r:id="rId8" xr:uid="{A76AEDBE-E9D0-453D-95D8-7EAD9D8BAF9B}"/>
    <hyperlink ref="H18" r:id="rId9" xr:uid="{6E351794-E320-4B83-87B6-CD6D32895EB1}"/>
    <hyperlink ref="H19" r:id="rId10" xr:uid="{77A28861-CC70-4D77-9634-625342E1CFC1}"/>
    <hyperlink ref="H22" r:id="rId11" xr:uid="{08D23A44-45F3-4E47-8592-1CA23516194B}"/>
    <hyperlink ref="H23" r:id="rId12" xr:uid="{148B3699-9335-4EA7-913F-3ABFACEB933E}"/>
    <hyperlink ref="H25" r:id="rId13" xr:uid="{8E3EC11B-F42C-408D-AACE-C1C8B18CB095}"/>
    <hyperlink ref="H26" r:id="rId14" xr:uid="{5E7A6B7F-019D-45A0-9465-7D7C14B3D404}"/>
    <hyperlink ref="H27" r:id="rId15" xr:uid="{40B98A94-60AB-4AF5-B393-277868A3C1E6}"/>
    <hyperlink ref="H32" r:id="rId16" xr:uid="{247D91EE-4A76-46D8-BA21-5FFC3E4C860D}"/>
    <hyperlink ref="H42" r:id="rId17" xr:uid="{62E5CD62-2AEE-45FB-8FDF-8FC430DA23AD}"/>
    <hyperlink ref="H54" r:id="rId18" xr:uid="{A0B045DA-85D4-4D60-9A8A-74D5BD620693}"/>
    <hyperlink ref="H76" r:id="rId19" xr:uid="{28350258-6F8F-419F-873F-698D95A53FDB}"/>
    <hyperlink ref="H77" r:id="rId20" xr:uid="{6FF0CE12-6860-4EDC-90C0-5D553D06BD25}"/>
    <hyperlink ref="H78" r:id="rId21" xr:uid="{4A6A43E9-C02C-4A1C-B9AC-8F4BA282BCB1}"/>
    <hyperlink ref="H79" r:id="rId22" xr:uid="{80398FC0-076F-459F-92C9-1E2F321B8D97}"/>
    <hyperlink ref="H80" r:id="rId23" xr:uid="{454ACA35-B253-4965-882A-82ADA4FBD5A6}"/>
    <hyperlink ref="H84" r:id="rId24" xr:uid="{6FC4BC7C-31EF-48B6-B75D-F88644B4A176}"/>
    <hyperlink ref="H86" r:id="rId25" xr:uid="{44BBDCF5-215F-4874-B80C-A2816D937B53}"/>
    <hyperlink ref="H97" r:id="rId26" xr:uid="{CC704D11-6139-43CD-8FEB-38CEC19DE57F}"/>
    <hyperlink ref="H100" r:id="rId27" xr:uid="{53B7BA89-9A4C-49F1-A4F2-23422C5BB7B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43F64-4AEE-4DA6-AA81-9C99A1FFB99D}">
  <dimension ref="A1:D219"/>
  <sheetViews>
    <sheetView topLeftCell="A87" workbookViewId="0">
      <selection activeCell="C88" sqref="C88:D89"/>
    </sheetView>
  </sheetViews>
  <sheetFormatPr baseColWidth="10" defaultRowHeight="15" x14ac:dyDescent="0.25"/>
  <cols>
    <col min="1" max="1" width="63.42578125" bestFit="1" customWidth="1"/>
  </cols>
  <sheetData>
    <row r="1" spans="1:1" ht="18" x14ac:dyDescent="0.25">
      <c r="A1" s="8" t="s">
        <v>140</v>
      </c>
    </row>
    <row r="2" spans="1:1" x14ac:dyDescent="0.25">
      <c r="A2" s="9"/>
    </row>
    <row r="3" spans="1:1" x14ac:dyDescent="0.25">
      <c r="A3" s="9" t="s">
        <v>146</v>
      </c>
    </row>
    <row r="4" spans="1:1" x14ac:dyDescent="0.25">
      <c r="A4" s="9"/>
    </row>
    <row r="5" spans="1:1" x14ac:dyDescent="0.25">
      <c r="A5" s="9" t="s">
        <v>5</v>
      </c>
    </row>
    <row r="6" spans="1:1" x14ac:dyDescent="0.25">
      <c r="A6" s="9"/>
    </row>
    <row r="7" spans="1:1" x14ac:dyDescent="0.25">
      <c r="A7" s="9" t="s">
        <v>6</v>
      </c>
    </row>
    <row r="8" spans="1:1" x14ac:dyDescent="0.25">
      <c r="A8" s="9"/>
    </row>
    <row r="9" spans="1:1" x14ac:dyDescent="0.25">
      <c r="A9" s="9" t="s">
        <v>147</v>
      </c>
    </row>
    <row r="10" spans="1:1" x14ac:dyDescent="0.25">
      <c r="A10" s="9"/>
    </row>
    <row r="11" spans="1:1" x14ac:dyDescent="0.25">
      <c r="A11" s="9" t="s">
        <v>9</v>
      </c>
    </row>
    <row r="12" spans="1:1" x14ac:dyDescent="0.25">
      <c r="A12" s="9"/>
    </row>
    <row r="13" spans="1:1" x14ac:dyDescent="0.25">
      <c r="A13" s="9" t="s">
        <v>18</v>
      </c>
    </row>
    <row r="14" spans="1:1" x14ac:dyDescent="0.25">
      <c r="A14" s="9"/>
    </row>
    <row r="15" spans="1:1" x14ac:dyDescent="0.25">
      <c r="A15" s="9" t="s">
        <v>17</v>
      </c>
    </row>
    <row r="16" spans="1:1" x14ac:dyDescent="0.25">
      <c r="A16" s="9"/>
    </row>
    <row r="17" spans="1:1" x14ac:dyDescent="0.25">
      <c r="A17" s="9" t="s">
        <v>20</v>
      </c>
    </row>
    <row r="18" spans="1:1" x14ac:dyDescent="0.25">
      <c r="A18" s="9"/>
    </row>
    <row r="19" spans="1:1" x14ac:dyDescent="0.25">
      <c r="A19" s="9" t="s">
        <v>148</v>
      </c>
    </row>
    <row r="20" spans="1:1" x14ac:dyDescent="0.25">
      <c r="A20" s="9"/>
    </row>
    <row r="21" spans="1:1" x14ac:dyDescent="0.25">
      <c r="A21" s="9" t="s">
        <v>149</v>
      </c>
    </row>
    <row r="22" spans="1:1" x14ac:dyDescent="0.25">
      <c r="A22" s="9"/>
    </row>
    <row r="23" spans="1:1" x14ac:dyDescent="0.25">
      <c r="A23" s="9" t="s">
        <v>150</v>
      </c>
    </row>
    <row r="24" spans="1:1" x14ac:dyDescent="0.25">
      <c r="A24" s="9"/>
    </row>
    <row r="25" spans="1:1" x14ac:dyDescent="0.25">
      <c r="A25" s="9" t="s">
        <v>94</v>
      </c>
    </row>
    <row r="26" spans="1:1" x14ac:dyDescent="0.25">
      <c r="A26" s="9"/>
    </row>
    <row r="27" spans="1:1" x14ac:dyDescent="0.25">
      <c r="A27" s="9" t="s">
        <v>95</v>
      </c>
    </row>
    <row r="28" spans="1:1" x14ac:dyDescent="0.25">
      <c r="A28" s="9"/>
    </row>
    <row r="29" spans="1:1" x14ac:dyDescent="0.25">
      <c r="A29" s="9" t="s">
        <v>97</v>
      </c>
    </row>
    <row r="30" spans="1:1" x14ac:dyDescent="0.25">
      <c r="A30" s="9"/>
    </row>
    <row r="31" spans="1:1" x14ac:dyDescent="0.25">
      <c r="A31" s="9" t="s">
        <v>99</v>
      </c>
    </row>
    <row r="32" spans="1:1" x14ac:dyDescent="0.25">
      <c r="A32" s="9"/>
    </row>
    <row r="33" spans="1:1" x14ac:dyDescent="0.25">
      <c r="A33" s="9" t="s">
        <v>100</v>
      </c>
    </row>
    <row r="34" spans="1:1" x14ac:dyDescent="0.25">
      <c r="A34" s="9"/>
    </row>
    <row r="35" spans="1:1" x14ac:dyDescent="0.25">
      <c r="A35" s="9" t="s">
        <v>101</v>
      </c>
    </row>
    <row r="39" spans="1:1" ht="18" x14ac:dyDescent="0.25">
      <c r="A39" s="8" t="s">
        <v>151</v>
      </c>
    </row>
    <row r="40" spans="1:1" x14ac:dyDescent="0.25">
      <c r="A40" s="9"/>
    </row>
    <row r="41" spans="1:1" x14ac:dyDescent="0.25">
      <c r="A41" s="9" t="s">
        <v>152</v>
      </c>
    </row>
    <row r="42" spans="1:1" x14ac:dyDescent="0.25">
      <c r="A42" s="9"/>
    </row>
    <row r="43" spans="1:1" x14ac:dyDescent="0.25">
      <c r="A43" s="9" t="s">
        <v>153</v>
      </c>
    </row>
    <row r="44" spans="1:1" x14ac:dyDescent="0.25">
      <c r="A44" s="9"/>
    </row>
    <row r="45" spans="1:1" x14ac:dyDescent="0.25">
      <c r="A45" s="9" t="s">
        <v>15</v>
      </c>
    </row>
    <row r="46" spans="1:1" x14ac:dyDescent="0.25">
      <c r="A46" s="9"/>
    </row>
    <row r="47" spans="1:1" x14ac:dyDescent="0.25">
      <c r="A47" s="9" t="s">
        <v>29</v>
      </c>
    </row>
    <row r="48" spans="1:1" x14ac:dyDescent="0.25">
      <c r="A48" s="9"/>
    </row>
    <row r="49" spans="1:1" x14ac:dyDescent="0.25">
      <c r="A49" s="9" t="s">
        <v>30</v>
      </c>
    </row>
    <row r="50" spans="1:1" x14ac:dyDescent="0.25">
      <c r="A50" s="9"/>
    </row>
    <row r="51" spans="1:1" x14ac:dyDescent="0.25">
      <c r="A51" s="9" t="s">
        <v>31</v>
      </c>
    </row>
    <row r="52" spans="1:1" x14ac:dyDescent="0.25">
      <c r="A52" s="9"/>
    </row>
    <row r="53" spans="1:1" x14ac:dyDescent="0.25">
      <c r="A53" s="9" t="s">
        <v>33</v>
      </c>
    </row>
    <row r="54" spans="1:1" x14ac:dyDescent="0.25">
      <c r="A54" s="9"/>
    </row>
    <row r="55" spans="1:1" x14ac:dyDescent="0.25">
      <c r="A55" s="9" t="s">
        <v>35</v>
      </c>
    </row>
    <row r="56" spans="1:1" x14ac:dyDescent="0.25">
      <c r="A56" s="9"/>
    </row>
    <row r="57" spans="1:1" x14ac:dyDescent="0.25">
      <c r="A57" s="9" t="s">
        <v>36</v>
      </c>
    </row>
    <row r="58" spans="1:1" x14ac:dyDescent="0.25">
      <c r="A58" s="9"/>
    </row>
    <row r="59" spans="1:1" x14ac:dyDescent="0.25">
      <c r="A59" s="9" t="s">
        <v>81</v>
      </c>
    </row>
    <row r="60" spans="1:1" x14ac:dyDescent="0.25">
      <c r="A60" s="9"/>
    </row>
    <row r="61" spans="1:1" x14ac:dyDescent="0.25">
      <c r="A61" s="9" t="s">
        <v>82</v>
      </c>
    </row>
    <row r="62" spans="1:1" x14ac:dyDescent="0.25">
      <c r="A62" s="9"/>
    </row>
    <row r="63" spans="1:1" x14ac:dyDescent="0.25">
      <c r="A63" s="9" t="s">
        <v>83</v>
      </c>
    </row>
    <row r="64" spans="1:1" x14ac:dyDescent="0.25">
      <c r="A64" s="9"/>
    </row>
    <row r="65" spans="1:1" x14ac:dyDescent="0.25">
      <c r="A65" s="9" t="s">
        <v>84</v>
      </c>
    </row>
    <row r="66" spans="1:1" x14ac:dyDescent="0.25">
      <c r="A66" s="9"/>
    </row>
    <row r="67" spans="1:1" x14ac:dyDescent="0.25">
      <c r="A67" s="9" t="s">
        <v>85</v>
      </c>
    </row>
    <row r="68" spans="1:1" x14ac:dyDescent="0.25">
      <c r="A68" s="9"/>
    </row>
    <row r="69" spans="1:1" x14ac:dyDescent="0.25">
      <c r="A69" s="9" t="s">
        <v>86</v>
      </c>
    </row>
    <row r="70" spans="1:1" x14ac:dyDescent="0.25">
      <c r="A70" s="9"/>
    </row>
    <row r="71" spans="1:1" x14ac:dyDescent="0.25">
      <c r="A71" s="9" t="s">
        <v>87</v>
      </c>
    </row>
    <row r="72" spans="1:1" x14ac:dyDescent="0.25">
      <c r="A72" s="9"/>
    </row>
    <row r="73" spans="1:1" x14ac:dyDescent="0.25">
      <c r="A73" s="9" t="s">
        <v>88</v>
      </c>
    </row>
    <row r="74" spans="1:1" x14ac:dyDescent="0.25">
      <c r="A74" s="9"/>
    </row>
    <row r="75" spans="1:1" x14ac:dyDescent="0.25">
      <c r="A75" s="9" t="s">
        <v>133</v>
      </c>
    </row>
    <row r="76" spans="1:1" x14ac:dyDescent="0.25">
      <c r="A76" s="9"/>
    </row>
    <row r="77" spans="1:1" x14ac:dyDescent="0.25">
      <c r="A77" s="9" t="s">
        <v>137</v>
      </c>
    </row>
    <row r="78" spans="1:1" x14ac:dyDescent="0.25">
      <c r="A78" s="9"/>
    </row>
    <row r="79" spans="1:1" x14ac:dyDescent="0.25">
      <c r="A79" s="9" t="s">
        <v>154</v>
      </c>
    </row>
    <row r="83" spans="1:4" ht="18" x14ac:dyDescent="0.25">
      <c r="A83" s="8" t="s">
        <v>141</v>
      </c>
    </row>
    <row r="84" spans="1:4" x14ac:dyDescent="0.25">
      <c r="A84" s="9"/>
    </row>
    <row r="85" spans="1:4" x14ac:dyDescent="0.25">
      <c r="A85" s="9" t="s">
        <v>155</v>
      </c>
    </row>
    <row r="86" spans="1:4" x14ac:dyDescent="0.25">
      <c r="A86" s="9"/>
    </row>
    <row r="87" spans="1:4" x14ac:dyDescent="0.25">
      <c r="A87" s="9" t="s">
        <v>41</v>
      </c>
    </row>
    <row r="88" spans="1:4" ht="20.25" x14ac:dyDescent="0.25">
      <c r="A88" s="9"/>
      <c r="C88" s="10">
        <v>1</v>
      </c>
      <c r="D88" s="10" t="s">
        <v>56</v>
      </c>
    </row>
    <row r="89" spans="1:4" ht="20.25" x14ac:dyDescent="0.25">
      <c r="A89" s="9" t="s">
        <v>156</v>
      </c>
      <c r="C89" s="10">
        <v>2</v>
      </c>
      <c r="D89" s="10" t="s">
        <v>185</v>
      </c>
    </row>
    <row r="90" spans="1:4" ht="20.25" x14ac:dyDescent="0.25">
      <c r="A90" s="9"/>
      <c r="C90" s="11">
        <v>3</v>
      </c>
      <c r="D90" s="11" t="s">
        <v>186</v>
      </c>
    </row>
    <row r="91" spans="1:4" x14ac:dyDescent="0.25">
      <c r="A91" s="9" t="s">
        <v>157</v>
      </c>
    </row>
    <row r="92" spans="1:4" x14ac:dyDescent="0.25">
      <c r="A92" s="9"/>
    </row>
    <row r="93" spans="1:4" x14ac:dyDescent="0.25">
      <c r="A93" s="9" t="s">
        <v>158</v>
      </c>
    </row>
    <row r="94" spans="1:4" x14ac:dyDescent="0.25">
      <c r="A94" s="9"/>
    </row>
    <row r="95" spans="1:4" x14ac:dyDescent="0.25">
      <c r="A95" s="9" t="s">
        <v>159</v>
      </c>
    </row>
    <row r="96" spans="1:4" x14ac:dyDescent="0.25">
      <c r="A96" s="9"/>
    </row>
    <row r="97" spans="1:1" x14ac:dyDescent="0.25">
      <c r="A97" s="9" t="s">
        <v>160</v>
      </c>
    </row>
    <row r="98" spans="1:1" x14ac:dyDescent="0.25">
      <c r="A98" s="9"/>
    </row>
    <row r="99" spans="1:1" x14ac:dyDescent="0.25">
      <c r="A99" s="9" t="s">
        <v>161</v>
      </c>
    </row>
    <row r="100" spans="1:1" x14ac:dyDescent="0.25">
      <c r="A100" s="9"/>
    </row>
    <row r="101" spans="1:1" x14ac:dyDescent="0.25">
      <c r="A101" s="9" t="s">
        <v>162</v>
      </c>
    </row>
    <row r="102" spans="1:1" x14ac:dyDescent="0.25">
      <c r="A102" s="9"/>
    </row>
    <row r="103" spans="1:1" x14ac:dyDescent="0.25">
      <c r="A103" s="9" t="s">
        <v>54</v>
      </c>
    </row>
    <row r="104" spans="1:1" x14ac:dyDescent="0.25">
      <c r="A104" s="9"/>
    </row>
    <row r="105" spans="1:1" x14ac:dyDescent="0.25">
      <c r="A105" s="9" t="s">
        <v>163</v>
      </c>
    </row>
    <row r="106" spans="1:1" x14ac:dyDescent="0.25">
      <c r="A106" s="9"/>
    </row>
    <row r="107" spans="1:1" x14ac:dyDescent="0.25">
      <c r="A107" s="9" t="s">
        <v>164</v>
      </c>
    </row>
    <row r="108" spans="1:1" x14ac:dyDescent="0.25">
      <c r="A108" s="9"/>
    </row>
    <row r="109" spans="1:1" x14ac:dyDescent="0.25">
      <c r="A109" s="9" t="s">
        <v>104</v>
      </c>
    </row>
    <row r="110" spans="1:1" x14ac:dyDescent="0.25">
      <c r="A110" s="9"/>
    </row>
    <row r="111" spans="1:1" x14ac:dyDescent="0.25">
      <c r="A111" s="9" t="s">
        <v>61</v>
      </c>
    </row>
    <row r="112" spans="1:1" x14ac:dyDescent="0.25">
      <c r="A112" s="9"/>
    </row>
    <row r="113" spans="1:1" x14ac:dyDescent="0.25">
      <c r="A113" s="9" t="s">
        <v>165</v>
      </c>
    </row>
    <row r="114" spans="1:1" x14ac:dyDescent="0.25">
      <c r="A114" s="9"/>
    </row>
    <row r="115" spans="1:1" x14ac:dyDescent="0.25">
      <c r="A115" s="9" t="s">
        <v>166</v>
      </c>
    </row>
    <row r="116" spans="1:1" x14ac:dyDescent="0.25">
      <c r="A116" s="9"/>
    </row>
    <row r="117" spans="1:1" x14ac:dyDescent="0.25">
      <c r="A117" s="9" t="s">
        <v>167</v>
      </c>
    </row>
    <row r="121" spans="1:1" ht="18" x14ac:dyDescent="0.25">
      <c r="A121" s="8" t="s">
        <v>168</v>
      </c>
    </row>
    <row r="122" spans="1:1" x14ac:dyDescent="0.25">
      <c r="A122" s="9"/>
    </row>
    <row r="123" spans="1:1" x14ac:dyDescent="0.25">
      <c r="A123" s="9" t="s">
        <v>57</v>
      </c>
    </row>
    <row r="124" spans="1:1" x14ac:dyDescent="0.25">
      <c r="A124" s="9"/>
    </row>
    <row r="125" spans="1:1" x14ac:dyDescent="0.25">
      <c r="A125" s="9" t="s">
        <v>58</v>
      </c>
    </row>
    <row r="126" spans="1:1" x14ac:dyDescent="0.25">
      <c r="A126" s="9"/>
    </row>
    <row r="127" spans="1:1" x14ac:dyDescent="0.25">
      <c r="A127" s="9" t="s">
        <v>59</v>
      </c>
    </row>
    <row r="128" spans="1:1" x14ac:dyDescent="0.25">
      <c r="A128" s="9"/>
    </row>
    <row r="129" spans="1:1" x14ac:dyDescent="0.25">
      <c r="A129" s="9" t="s">
        <v>169</v>
      </c>
    </row>
    <row r="130" spans="1:1" x14ac:dyDescent="0.25">
      <c r="A130" s="9"/>
    </row>
    <row r="131" spans="1:1" x14ac:dyDescent="0.25">
      <c r="A131" s="9" t="s">
        <v>170</v>
      </c>
    </row>
    <row r="132" spans="1:1" x14ac:dyDescent="0.25">
      <c r="A132" s="9"/>
    </row>
    <row r="133" spans="1:1" x14ac:dyDescent="0.25">
      <c r="A133" s="9" t="s">
        <v>171</v>
      </c>
    </row>
    <row r="134" spans="1:1" x14ac:dyDescent="0.25">
      <c r="A134" s="9"/>
    </row>
    <row r="135" spans="1:1" x14ac:dyDescent="0.25">
      <c r="A135" s="9" t="s">
        <v>172</v>
      </c>
    </row>
    <row r="136" spans="1:1" x14ac:dyDescent="0.25">
      <c r="A136" s="9"/>
    </row>
    <row r="137" spans="1:1" x14ac:dyDescent="0.25">
      <c r="A137" s="9" t="s">
        <v>124</v>
      </c>
    </row>
    <row r="141" spans="1:1" ht="18" x14ac:dyDescent="0.25">
      <c r="A141" s="8" t="s">
        <v>142</v>
      </c>
    </row>
    <row r="142" spans="1:1" x14ac:dyDescent="0.25">
      <c r="A142" s="9"/>
    </row>
    <row r="143" spans="1:1" x14ac:dyDescent="0.25">
      <c r="A143" s="9" t="s">
        <v>173</v>
      </c>
    </row>
    <row r="144" spans="1:1" x14ac:dyDescent="0.25">
      <c r="A144" s="9"/>
    </row>
    <row r="145" spans="1:1" x14ac:dyDescent="0.25">
      <c r="A145" s="9" t="s">
        <v>174</v>
      </c>
    </row>
    <row r="146" spans="1:1" x14ac:dyDescent="0.25">
      <c r="A146" s="9"/>
    </row>
    <row r="147" spans="1:1" x14ac:dyDescent="0.25">
      <c r="A147" s="9" t="s">
        <v>175</v>
      </c>
    </row>
    <row r="148" spans="1:1" x14ac:dyDescent="0.25">
      <c r="A148" s="9"/>
    </row>
    <row r="149" spans="1:1" x14ac:dyDescent="0.25">
      <c r="A149" s="9" t="s">
        <v>176</v>
      </c>
    </row>
    <row r="150" spans="1:1" x14ac:dyDescent="0.25">
      <c r="A150" s="9"/>
    </row>
    <row r="151" spans="1:1" x14ac:dyDescent="0.25">
      <c r="A151" s="9" t="s">
        <v>177</v>
      </c>
    </row>
    <row r="152" spans="1:1" x14ac:dyDescent="0.25">
      <c r="A152" s="9"/>
    </row>
    <row r="153" spans="1:1" x14ac:dyDescent="0.25">
      <c r="A153" s="9" t="s">
        <v>178</v>
      </c>
    </row>
    <row r="154" spans="1:1" x14ac:dyDescent="0.25">
      <c r="A154" s="9"/>
    </row>
    <row r="155" spans="1:1" x14ac:dyDescent="0.25">
      <c r="A155" s="9" t="s">
        <v>179</v>
      </c>
    </row>
    <row r="156" spans="1:1" x14ac:dyDescent="0.25">
      <c r="A156" s="9"/>
    </row>
    <row r="157" spans="1:1" x14ac:dyDescent="0.25">
      <c r="A157" s="9" t="s">
        <v>126</v>
      </c>
    </row>
    <row r="158" spans="1:1" x14ac:dyDescent="0.25">
      <c r="A158" s="9"/>
    </row>
    <row r="159" spans="1:1" x14ac:dyDescent="0.25">
      <c r="A159" s="9" t="s">
        <v>127</v>
      </c>
    </row>
    <row r="160" spans="1:1" x14ac:dyDescent="0.25">
      <c r="A160" s="9"/>
    </row>
    <row r="161" spans="1:1" x14ac:dyDescent="0.25">
      <c r="A161" s="9" t="s">
        <v>128</v>
      </c>
    </row>
    <row r="162" spans="1:1" x14ac:dyDescent="0.25">
      <c r="A162" s="9"/>
    </row>
    <row r="163" spans="1:1" x14ac:dyDescent="0.25">
      <c r="A163" s="9" t="s">
        <v>129</v>
      </c>
    </row>
    <row r="164" spans="1:1" x14ac:dyDescent="0.25">
      <c r="A164" s="9"/>
    </row>
    <row r="165" spans="1:1" x14ac:dyDescent="0.25">
      <c r="A165" s="9" t="s">
        <v>130</v>
      </c>
    </row>
    <row r="166" spans="1:1" x14ac:dyDescent="0.25">
      <c r="A166" s="9"/>
    </row>
    <row r="167" spans="1:1" x14ac:dyDescent="0.25">
      <c r="A167" s="9" t="s">
        <v>131</v>
      </c>
    </row>
    <row r="171" spans="1:1" ht="18" x14ac:dyDescent="0.25">
      <c r="A171" s="8" t="s">
        <v>180</v>
      </c>
    </row>
    <row r="172" spans="1:1" x14ac:dyDescent="0.25">
      <c r="A172" s="9"/>
    </row>
    <row r="173" spans="1:1" x14ac:dyDescent="0.25">
      <c r="A173" s="9" t="s">
        <v>22</v>
      </c>
    </row>
    <row r="174" spans="1:1" x14ac:dyDescent="0.25">
      <c r="A174" s="9"/>
    </row>
    <row r="175" spans="1:1" x14ac:dyDescent="0.25">
      <c r="A175" s="9" t="s">
        <v>24</v>
      </c>
    </row>
    <row r="176" spans="1:1" x14ac:dyDescent="0.25">
      <c r="A176" s="9"/>
    </row>
    <row r="177" spans="1:1" x14ac:dyDescent="0.25">
      <c r="A177" s="9" t="s">
        <v>25</v>
      </c>
    </row>
    <row r="178" spans="1:1" x14ac:dyDescent="0.25">
      <c r="A178" s="9"/>
    </row>
    <row r="179" spans="1:1" x14ac:dyDescent="0.25">
      <c r="A179" s="9" t="s">
        <v>27</v>
      </c>
    </row>
    <row r="180" spans="1:1" x14ac:dyDescent="0.25">
      <c r="A180" s="9"/>
    </row>
    <row r="181" spans="1:1" x14ac:dyDescent="0.25">
      <c r="A181" s="9" t="s">
        <v>181</v>
      </c>
    </row>
    <row r="182" spans="1:1" x14ac:dyDescent="0.25">
      <c r="A182" s="9"/>
    </row>
    <row r="183" spans="1:1" x14ac:dyDescent="0.25">
      <c r="A183" s="9" t="s">
        <v>182</v>
      </c>
    </row>
    <row r="184" spans="1:1" x14ac:dyDescent="0.25">
      <c r="A184" s="9"/>
    </row>
    <row r="185" spans="1:1" x14ac:dyDescent="0.25">
      <c r="A185" s="9" t="s">
        <v>183</v>
      </c>
    </row>
    <row r="186" spans="1:1" x14ac:dyDescent="0.25">
      <c r="A186" s="9"/>
    </row>
    <row r="187" spans="1:1" x14ac:dyDescent="0.25">
      <c r="A187" s="9" t="s">
        <v>132</v>
      </c>
    </row>
    <row r="188" spans="1:1" x14ac:dyDescent="0.25">
      <c r="A188" s="9"/>
    </row>
    <row r="189" spans="1:1" x14ac:dyDescent="0.25">
      <c r="A189" s="9" t="s">
        <v>65</v>
      </c>
    </row>
    <row r="190" spans="1:1" x14ac:dyDescent="0.25">
      <c r="A190" s="9"/>
    </row>
    <row r="191" spans="1:1" x14ac:dyDescent="0.25">
      <c r="A191" s="9" t="s">
        <v>184</v>
      </c>
    </row>
    <row r="195" spans="1:1" ht="18" x14ac:dyDescent="0.25">
      <c r="A195" s="8" t="s">
        <v>143</v>
      </c>
    </row>
    <row r="196" spans="1:1" x14ac:dyDescent="0.25">
      <c r="A196" s="9"/>
    </row>
    <row r="197" spans="1:1" x14ac:dyDescent="0.25">
      <c r="A197" s="9" t="s">
        <v>89</v>
      </c>
    </row>
    <row r="198" spans="1:1" x14ac:dyDescent="0.25">
      <c r="A198" s="9"/>
    </row>
    <row r="199" spans="1:1" x14ac:dyDescent="0.25">
      <c r="A199" s="9" t="s">
        <v>90</v>
      </c>
    </row>
    <row r="200" spans="1:1" x14ac:dyDescent="0.25">
      <c r="A200" s="9"/>
    </row>
    <row r="201" spans="1:1" x14ac:dyDescent="0.25">
      <c r="A201" s="9" t="s">
        <v>119</v>
      </c>
    </row>
    <row r="202" spans="1:1" x14ac:dyDescent="0.25">
      <c r="A202" s="9"/>
    </row>
    <row r="203" spans="1:1" x14ac:dyDescent="0.25">
      <c r="A203" s="9" t="s">
        <v>102</v>
      </c>
    </row>
    <row r="204" spans="1:1" x14ac:dyDescent="0.25">
      <c r="A204" s="9"/>
    </row>
    <row r="205" spans="1:1" x14ac:dyDescent="0.25">
      <c r="A205" s="9" t="s">
        <v>122</v>
      </c>
    </row>
    <row r="206" spans="1:1" x14ac:dyDescent="0.25">
      <c r="A206" s="9"/>
    </row>
    <row r="207" spans="1:1" x14ac:dyDescent="0.25">
      <c r="A207" s="9" t="s">
        <v>123</v>
      </c>
    </row>
    <row r="208" spans="1:1" x14ac:dyDescent="0.25">
      <c r="A208" s="9"/>
    </row>
    <row r="209" spans="1:1" x14ac:dyDescent="0.25">
      <c r="A209" s="9" t="s">
        <v>106</v>
      </c>
    </row>
    <row r="210" spans="1:1" x14ac:dyDescent="0.25">
      <c r="A210" s="9"/>
    </row>
    <row r="211" spans="1:1" x14ac:dyDescent="0.25">
      <c r="A211" s="9" t="s">
        <v>108</v>
      </c>
    </row>
    <row r="212" spans="1:1" x14ac:dyDescent="0.25">
      <c r="A212" s="9"/>
    </row>
    <row r="213" spans="1:1" x14ac:dyDescent="0.25">
      <c r="A213" s="9" t="s">
        <v>110</v>
      </c>
    </row>
    <row r="217" spans="1:1" ht="18" x14ac:dyDescent="0.25">
      <c r="A217" s="8" t="s">
        <v>144</v>
      </c>
    </row>
    <row r="218" spans="1:1" x14ac:dyDescent="0.25">
      <c r="A218" s="9"/>
    </row>
    <row r="219" spans="1:1" x14ac:dyDescent="0.25">
      <c r="A219" s="9" t="s">
        <v>136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B479C48E64FB4B8FA0C717E026C76E" ma:contentTypeVersion="12" ma:contentTypeDescription="Create a new document." ma:contentTypeScope="" ma:versionID="77ffe03d52c9f0d996ffe77200e372ff">
  <xsd:schema xmlns:xsd="http://www.w3.org/2001/XMLSchema" xmlns:xs="http://www.w3.org/2001/XMLSchema" xmlns:p="http://schemas.microsoft.com/office/2006/metadata/properties" xmlns:ns2="ab9eddc0-6e7f-40e8-8a25-a6194df63471" xmlns:ns3="c97ac79a-b521-43e2-b269-2370fa5bb204" targetNamespace="http://schemas.microsoft.com/office/2006/metadata/properties" ma:root="true" ma:fieldsID="5ed99a1ecbc8117977d6ceb0da0d3544" ns2:_="" ns3:_="">
    <xsd:import namespace="ab9eddc0-6e7f-40e8-8a25-a6194df63471"/>
    <xsd:import namespace="c97ac79a-b521-43e2-b269-2370fa5bb2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eddc0-6e7f-40e8-8a25-a6194df634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cb3ed0d-05b5-4e3c-8223-404b83b067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7ac79a-b521-43e2-b269-2370fa5bb20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003660e-e974-43b8-80b1-cc0500821b99}" ma:internalName="TaxCatchAll" ma:showField="CatchAllData" ma:web="c97ac79a-b521-43e2-b269-2370fa5bb2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7ac79a-b521-43e2-b269-2370fa5bb204" xsi:nil="true"/>
    <lcf76f155ced4ddcb4097134ff3c332f xmlns="ab9eddc0-6e7f-40e8-8a25-a6194df6347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68ABC1-9EBD-4FF2-AAED-2E9FFCC980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eddc0-6e7f-40e8-8a25-a6194df63471"/>
    <ds:schemaRef ds:uri="c97ac79a-b521-43e2-b269-2370fa5bb2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946364-86BF-41EA-91B7-E0D461216D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7B6483-2685-4AF2-B6EA-B2DB52FE140D}">
  <ds:schemaRefs>
    <ds:schemaRef ds:uri="http://schemas.microsoft.com/office/2006/metadata/properties"/>
    <ds:schemaRef ds:uri="http://schemas.microsoft.com/office/infopath/2007/PartnerControls"/>
    <ds:schemaRef ds:uri="c97ac79a-b521-43e2-b269-2370fa5bb204"/>
    <ds:schemaRef ds:uri="ab9eddc0-6e7f-40e8-8a25-a6194df6347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SALAZAR</dc:creator>
  <cp:lastModifiedBy>Jarek Challco</cp:lastModifiedBy>
  <dcterms:created xsi:type="dcterms:W3CDTF">2025-04-14T21:46:42Z</dcterms:created>
  <dcterms:modified xsi:type="dcterms:W3CDTF">2025-05-21T17:55:54Z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0x010100CFB479C48E64FB4B8FA0C717E026C76E</vt:lpwstr>
  </property>
</Properties>
</file>